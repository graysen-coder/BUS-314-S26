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raysen\Downloads\"/>
    </mc:Choice>
  </mc:AlternateContent>
  <xr:revisionPtr revIDLastSave="0" documentId="13_ncr:1_{05918EE6-6B8B-405F-B73C-5801B0D899B2}" xr6:coauthVersionLast="47" xr6:coauthVersionMax="47" xr10:uidLastSave="{00000000-0000-0000-0000-000000000000}"/>
  <bookViews>
    <workbookView xWindow="4545" yWindow="1110" windowWidth="21600" windowHeight="11295" tabRatio="500" firstSheet="1" activeTab="1" xr2:uid="{00000000-000D-0000-FFFF-FFFF00000000}"/>
  </bookViews>
  <sheets>
    <sheet name="Balance Sheet" sheetId="1" r:id="rId1"/>
    <sheet name="Income Statement" sheetId="2" r:id="rId2"/>
    <sheet name="Cash Flow Statement" sheetId="3" r:id="rId3"/>
    <sheet name="Ratios" sheetId="4" r:id="rId4"/>
    <sheet name="Notes" sheetId="5" r:id="rId5"/>
  </sheets>
  <definedNames>
    <definedName name="avg_equity">Ratios!$C$33</definedName>
    <definedName name="avg_total_assets">Ratios!$C$34</definedName>
    <definedName name="avg_total_capitalization">Ratios!$C$35</definedName>
    <definedName name="BAL_receivables_YEAR">'Balance Sheet'!$C$6</definedName>
    <definedName name="cost_capital">Ratios!$C$7</definedName>
    <definedName name="currentYear_after_tax_operating_income">Ratios!$C$19</definedName>
    <definedName name="currentYear_assets_current">Ratios!$C$23</definedName>
    <definedName name="currentYear_assets_total">Ratios!$C$28</definedName>
    <definedName name="currentYear_cash_marketable_securities">Ratios!$C$22</definedName>
    <definedName name="currentYear_cost_goods_sold_daily">Ratios!$C$25</definedName>
    <definedName name="currentYear_daily_sales_average">Ratios!$C$20</definedName>
    <definedName name="currentYear_debt_long_term">Ratios!$C$26</definedName>
    <definedName name="currentYear_equity">Ratios!$C$21</definedName>
    <definedName name="currentYear_liabilities_current">Ratios!$C$24</definedName>
    <definedName name="currentYear_liabilities_total">Ratios!$C$30</definedName>
    <definedName name="currentYear_total_capitalization">Ratios!$C$29</definedName>
    <definedName name="currentYear_working_capital_net">Ratios!$C$27</definedName>
    <definedName name="debt_long_term_equity">Ratios!$C$36</definedName>
    <definedName name="INC_cost_goods_sold">'Income Statement'!$C$5</definedName>
    <definedName name="INC_depreciation">'Income Statement'!$C$7</definedName>
    <definedName name="INC_ebit">'Income Statement'!$C$8</definedName>
    <definedName name="INC_interest_expense">'Income Statement'!$C$11</definedName>
    <definedName name="INC_net">'Income Statement'!$C$15</definedName>
    <definedName name="INC_sales">'Income Statement'!$C$4</definedName>
    <definedName name="market_capitalization">Ratios!$C$9</definedName>
    <definedName name="RATIO_asset_turnover">Ratios!$C$54</definedName>
    <definedName name="RATIO_debt_burden">Ratios!$C$68</definedName>
    <definedName name="RATIO_leverage">Ratios!$C$69</definedName>
    <definedName name="RATIO_operating_profit_margin">Ratios!$C$60</definedName>
    <definedName name="share_price">Ratios!$C$5</definedName>
    <definedName name="shares_outstanding">Ratios!$C$6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tax_rate">Ratios!$C$8</definedName>
    <definedName name="yearCurrent">Ratios!$C$3</definedName>
    <definedName name="yearStart">Ratios!$C$4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8" i="3" l="1"/>
  <c r="C25" i="3"/>
  <c r="C20" i="3"/>
  <c r="C13" i="3"/>
  <c r="C6" i="3"/>
  <c r="D18" i="2"/>
  <c r="D16" i="2"/>
  <c r="D14" i="2"/>
  <c r="D13" i="2"/>
  <c r="D11" i="2"/>
  <c r="D10" i="2"/>
  <c r="D9" i="2"/>
  <c r="C8" i="2"/>
  <c r="C12" i="2" s="1"/>
  <c r="D7" i="2"/>
  <c r="D6" i="2"/>
  <c r="D5" i="2"/>
  <c r="D4" i="2"/>
  <c r="G20" i="1"/>
  <c r="H18" i="1"/>
  <c r="G18" i="1"/>
  <c r="C29" i="4" s="1"/>
  <c r="D14" i="1"/>
  <c r="C14" i="1"/>
  <c r="G13" i="1"/>
  <c r="D9" i="1"/>
  <c r="D20" i="1" s="1"/>
  <c r="C15" i="4" s="1"/>
  <c r="C9" i="1"/>
  <c r="C18" i="1" s="1"/>
  <c r="H8" i="1"/>
  <c r="H13" i="1" s="1"/>
  <c r="H20" i="1" s="1"/>
  <c r="D18" i="1" s="1"/>
  <c r="G8" i="1"/>
  <c r="C75" i="4"/>
  <c r="C67" i="4"/>
  <c r="C30" i="4"/>
  <c r="C26" i="4"/>
  <c r="C25" i="4"/>
  <c r="C58" i="4" s="1"/>
  <c r="C24" i="4"/>
  <c r="C74" i="4" s="1"/>
  <c r="C22" i="4"/>
  <c r="C20" i="4"/>
  <c r="C16" i="4"/>
  <c r="C35" i="4" s="1"/>
  <c r="C14" i="4"/>
  <c r="C56" i="4" s="1"/>
  <c r="C13" i="4"/>
  <c r="C57" i="4" s="1"/>
  <c r="C12" i="4"/>
  <c r="C9" i="4"/>
  <c r="C54" i="4" l="1"/>
  <c r="C8" i="4"/>
  <c r="C15" i="2"/>
  <c r="D12" i="2"/>
  <c r="D8" i="2"/>
  <c r="C21" i="4"/>
  <c r="C33" i="4" s="1"/>
  <c r="C27" i="4"/>
  <c r="C55" i="4"/>
  <c r="C20" i="1"/>
  <c r="C23" i="4"/>
  <c r="C73" i="4" s="1"/>
  <c r="C41" i="4"/>
  <c r="C66" i="4"/>
  <c r="C64" i="4" l="1"/>
  <c r="C42" i="4"/>
  <c r="C36" i="4"/>
  <c r="C84" i="4"/>
  <c r="C79" i="4"/>
  <c r="C28" i="4"/>
  <c r="C21" i="1"/>
  <c r="C63" i="4"/>
  <c r="C5" i="3"/>
  <c r="C14" i="3" s="1"/>
  <c r="C30" i="3" s="1"/>
  <c r="D15" i="2"/>
  <c r="C17" i="2"/>
  <c r="D17" i="2" s="1"/>
  <c r="C51" i="4"/>
  <c r="C19" i="2"/>
  <c r="D19" i="2" s="1"/>
  <c r="C48" i="4"/>
  <c r="C19" i="4"/>
  <c r="C68" i="4"/>
  <c r="C86" i="4" s="1"/>
  <c r="C59" i="4"/>
  <c r="C50" i="4" l="1"/>
  <c r="C43" i="4"/>
  <c r="C47" i="4"/>
  <c r="C60" i="4"/>
  <c r="C46" i="4"/>
  <c r="C69" i="4"/>
  <c r="C65" i="4"/>
  <c r="C34" i="4"/>
  <c r="C49" i="4" s="1"/>
  <c r="C72" i="4"/>
  <c r="C80" i="4" l="1"/>
  <c r="C85" i="4"/>
  <c r="C78" i="4"/>
  <c r="C83" i="4"/>
  <c r="C8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100-000001000000}">
      <text>
        <r>
          <rPr>
            <sz val="10"/>
            <rFont val="Arial"/>
            <family val="2"/>
          </rPr>
          <t>Adam Stauffer:
Source: Microsoft 10-K FY2024, Cost of revenue. SEC EDGAR: https://www.sec.gov/cgi-bin/browse-edgar?action=getcompany&amp;CIK=0000789019&amp;type=10-K</t>
        </r>
      </text>
    </comment>
    <comment ref="C6" authorId="0" shapeId="0" xr:uid="{00000000-0006-0000-0100-000002000000}">
      <text>
        <r>
          <rPr>
            <sz val="10"/>
            <rFont val="Arial"/>
            <family val="2"/>
          </rPr>
          <t>Source: Microsoft 10-K FY2024 — Derived: Total OpEx excl. depreciation ($17,645M separately shown). R&amp;D + S&amp;M + G&amp;A = $61,575M, less D&amp;A allocated to OpEx ~$17,645M. Reconciles to EBIT $109,433M. SEC EDGAR: https://www.sec.gov/cgi-bin/browse-edgar?action=getcompany&amp;CIK=0000789019&amp;type=10-K</t>
        </r>
      </text>
    </comment>
    <comment ref="C7" authorId="0" shapeId="0" xr:uid="{00000000-0006-0000-0100-000003000000}">
      <text>
        <r>
          <rPr>
            <sz val="10"/>
            <rFont val="Arial"/>
            <family val="2"/>
          </rPr>
          <t>Adam Stauffer:
Source: Microsoft 10-K FY2024, Total D&amp;A per cash flow statement. SEC EDGAR</t>
        </r>
      </text>
    </comment>
    <comment ref="C10" authorId="0" shapeId="0" xr:uid="{00000000-0006-0000-0100-000004000000}">
      <text>
        <r>
          <rPr>
            <sz val="10"/>
            <rFont val="Arial"/>
            <family val="2"/>
          </rPr>
          <t>Adam Stauffer:
Source: Microsoft 10-K FY2024, Other income net. SEC EDGAR</t>
        </r>
      </text>
    </comment>
    <comment ref="C11" authorId="0" shapeId="0" xr:uid="{00000000-0006-0000-0100-000005000000}">
      <text>
        <r>
          <rPr>
            <sz val="10"/>
            <rFont val="Arial"/>
            <family val="2"/>
          </rPr>
          <t>Adam Stauffer:
Source: Microsoft 10-K FY2024, Interest expense. SEC EDGAR</t>
        </r>
      </text>
    </comment>
    <comment ref="C14" authorId="0" shapeId="0" xr:uid="{00000000-0006-0000-0100-000006000000}">
      <text>
        <r>
          <rPr>
            <sz val="10"/>
            <rFont val="Arial"/>
            <family val="2"/>
          </rPr>
          <t>Source: Microsoft 10-K FY2024, Provision for income taxes. SEC EDGAR</t>
        </r>
      </text>
    </comment>
    <comment ref="C18" authorId="0" shapeId="0" xr:uid="{00000000-0006-0000-0100-000007000000}">
      <text>
        <r>
          <rPr>
            <sz val="10"/>
            <rFont val="Arial"/>
            <family val="2"/>
          </rPr>
          <t>Source: Microsoft 10-K FY2024, dividends paid per cash flow statement = $21,771M. SEC EDGAR: https://www.sec.gov/cgi-bin/browse-edgar?action=getcompany&amp;CIK=0000789019&amp;type=10-K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8" authorId="0" shapeId="0" xr:uid="{00000000-0006-0000-0300-000001000000}">
      <text>
        <r>
          <rPr>
            <sz val="10"/>
            <rFont val="Arial"/>
            <family val="2"/>
          </rPr>
          <t>Adam Stauffer:
Effective tax rate: Taxes / Pre-tax income = $21,631M / $109,767M</t>
        </r>
      </text>
    </comment>
    <comment ref="C19" authorId="0" shapeId="0" xr:uid="{00000000-0006-0000-0300-000002000000}">
      <text>
        <r>
          <rPr>
            <sz val="10"/>
            <rFont val="Arial"/>
            <family val="2"/>
          </rPr>
          <t>Adam Stauffer:
After-tax operating income = EBIT × (1 − effective tax rate)</t>
        </r>
      </text>
    </comment>
  </commentList>
</comments>
</file>

<file path=xl/sharedStrings.xml><?xml version="1.0" encoding="utf-8"?>
<sst xmlns="http://schemas.openxmlformats.org/spreadsheetml/2006/main" count="334" uniqueCount="302">
  <si>
    <t>Balance Sheet — Microsoft Corporation (MSFT)</t>
  </si>
  <si>
    <t>ASSETS</t>
  </si>
  <si>
    <t>FY2024 (Jun 30, 2024)</t>
  </si>
  <si>
    <t>FY2023 (Jun 30, 2023)</t>
  </si>
  <si>
    <t>LIABILITIES &amp; EQUITY</t>
  </si>
  <si>
    <t>(All figures in $millions)</t>
  </si>
  <si>
    <t>Current Assets</t>
  </si>
  <si>
    <t>Current Liabilities</t>
  </si>
  <si>
    <t xml:space="preserve">   Cash and marketable securities</t>
  </si>
  <si>
    <t xml:space="preserve">   Debt due for repayment</t>
  </si>
  <si>
    <t xml:space="preserve">   Receivables</t>
  </si>
  <si>
    <t xml:space="preserve">   Accounts payable</t>
  </si>
  <si>
    <t xml:space="preserve">   Inventories</t>
  </si>
  <si>
    <t xml:space="preserve">   Other current liabilities</t>
  </si>
  <si>
    <t xml:space="preserve">   Other current assets</t>
  </si>
  <si>
    <t xml:space="preserve">   Total current liabilities</t>
  </si>
  <si>
    <t xml:space="preserve">   Total current assets</t>
  </si>
  <si>
    <t xml:space="preserve">   Long-term debt</t>
  </si>
  <si>
    <t>Fixed Assets</t>
  </si>
  <si>
    <t xml:space="preserve">   Other long-term liabilities</t>
  </si>
  <si>
    <t xml:space="preserve">   Property, plant, and equipment</t>
  </si>
  <si>
    <t xml:space="preserve">   Less accumulated depreciation</t>
  </si>
  <si>
    <t>Total Liabilities</t>
  </si>
  <si>
    <t xml:space="preserve">   Net tangible fixed assets</t>
  </si>
  <si>
    <t>Shareholders' Equity</t>
  </si>
  <si>
    <t>Other Assets</t>
  </si>
  <si>
    <t xml:space="preserve">   Common stock and paid-in capital</t>
  </si>
  <si>
    <t xml:space="preserve">   Intangible assets (goodwill)</t>
  </si>
  <si>
    <t xml:space="preserve">   Retained earnings</t>
  </si>
  <si>
    <t xml:space="preserve">   Other assets</t>
  </si>
  <si>
    <t xml:space="preserve">   Total shareholders' equity</t>
  </si>
  <si>
    <t>Total Assets</t>
  </si>
  <si>
    <t>Total Liabilities + Equity</t>
  </si>
  <si>
    <t>Balance Check (TA − TL&amp;E)</t>
  </si>
  <si>
    <t>Source: Microsoft 10-K FY2024, SEC EDGAR</t>
  </si>
  <si>
    <t>Income Statement — Microsoft Corporation (MSFT)</t>
  </si>
  <si>
    <t>Line Item</t>
  </si>
  <si>
    <t>% of Sales</t>
  </si>
  <si>
    <t>Net sales</t>
  </si>
  <si>
    <t>less Cost of goods sold</t>
  </si>
  <si>
    <t>less Selling, general &amp; administrative</t>
  </si>
  <si>
    <t>less Depreciation</t>
  </si>
  <si>
    <t>Earnings before interest &amp; taxes (EBIT)</t>
  </si>
  <si>
    <t>plus Other income</t>
  </si>
  <si>
    <t>less Interest expense</t>
  </si>
  <si>
    <t>Taxable income</t>
  </si>
  <si>
    <t>less Taxes</t>
  </si>
  <si>
    <t>Net income</t>
  </si>
  <si>
    <t>Allocation of Net Income</t>
  </si>
  <si>
    <t>Dividends</t>
  </si>
  <si>
    <t>Addition to retained earnings</t>
  </si>
  <si>
    <t>Cash Flow Statement — Microsoft Corporation (MSFT)</t>
  </si>
  <si>
    <t>Source / Notes</t>
  </si>
  <si>
    <t>Operations:</t>
  </si>
  <si>
    <t>[Income Statement]</t>
  </si>
  <si>
    <t>plus Depreciation</t>
  </si>
  <si>
    <t xml:space="preserve">   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</si>
  <si>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</si>
  <si>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</si>
  <si>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</si>
  <si>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</si>
  <si>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</si>
  <si>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</si>
  <si>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</si>
  <si>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</si>
  <si>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</si>
  <si>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</si>
  <si>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</si>
  <si>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</si>
  <si>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</si>
  <si>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</si>
  <si>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</si>
  <si>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</si>
  <si>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</t>
  </si>
  <si>
    <t>plus Issues (repurchases) of stock</t>
  </si>
  <si>
    <t>plus Other</t>
  </si>
  <si>
    <t xml:space="preserve">   Cash provided by (used for) financing</t>
  </si>
  <si>
    <t xml:space="preserve">   Net increase (decrease) in cash</t>
  </si>
  <si>
    <t>Ratios — Microsoft Corporation (MSFT)</t>
  </si>
  <si>
    <t>Metric</t>
  </si>
  <si>
    <t>Input</t>
  </si>
  <si>
    <t>Named Range Formula</t>
  </si>
  <si>
    <t>Named Range</t>
  </si>
  <si>
    <t>Current year</t>
  </si>
  <si>
    <t>yearCurrent</t>
  </si>
  <si>
    <t>Start of year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</si>
  <si>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</si>
  <si>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</si>
  <si>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</si>
  <si>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</si>
  <si>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</si>
  <si>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</si>
  <si>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</si>
  <si>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</si>
  <si>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</si>
  <si>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</si>
  <si>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</si>
  <si>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</si>
  <si>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</si>
  <si>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─── Start of Year (Prior Year Balance Sheet) ───</t>
  </si>
  <si>
    <t>Equity (start of year)</t>
  </si>
  <si>
    <t>BAL_equity_shareholders_2023</t>
  </si>
  <si>
    <t>startYear_equity</t>
  </si>
  <si>
    <t>Inventories (start of year)</t>
  </si>
  <si>
    <t>BAL_inventories_2023</t>
  </si>
  <si>
    <t>startYear_inventory</t>
  </si>
  <si>
    <t>Receivables (start of year)</t>
  </si>
  <si>
    <t>BAL_receivables_2023</t>
  </si>
  <si>
    <t>startYear_receivables</t>
  </si>
  <si>
    <t>Total assets (start of year)</t>
  </si>
  <si>
    <t>BAL_assets_total_2023</t>
  </si>
  <si>
    <t>startYear_total_assets</t>
  </si>
  <si>
    <t>Total capitalization (start of year)</t>
  </si>
  <si>
    <t>BAL_debt_long_term_2023 + BAL_equity_shareholders_2023</t>
  </si>
  <si>
    <t>startYear_total_capitalization</t>
  </si>
  <si>
    <t>─── Current Year (Derived) ───</t>
  </si>
  <si>
    <t>After-tax operating income</t>
  </si>
  <si>
    <t>INC_net + (1−tax_rate)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</si>
  <si>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</si>
  <si>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</si>
  <si>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</si>
  <si>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</si>
  <si>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</si>
  <si>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BAL_equity_shareholders_2024</t>
  </si>
  <si>
    <t>currentYear_equity</t>
  </si>
  <si>
    <t>Cash + Mktable securities</t>
  </si>
  <si>
    <t>BAL_cash_marketable_securities_2024</t>
  </si>
  <si>
    <t>currentYear_cash_marketable_securities</t>
  </si>
  <si>
    <t>Current assets</t>
  </si>
  <si>
    <t>BAL_assets_current_2024</t>
  </si>
  <si>
    <t>currentYear_assets_current</t>
  </si>
  <si>
    <t>Current liabilities</t>
  </si>
  <si>
    <t>BAL_liabilities_current_2024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</si>
  <si>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</si>
  <si>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</si>
  <si>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</si>
  <si>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</si>
  <si>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</si>
  <si>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BAL_debt_long_term_2024</t>
  </si>
  <si>
    <t>currentYear_debt_long_term</t>
  </si>
  <si>
    <t>Net working capital</t>
  </si>
  <si>
    <t>BAL_assets_current_2024 − BAL_liabilities_current_2024</t>
  </si>
  <si>
    <t>currentYear_working_capital_net</t>
  </si>
  <si>
    <t>Total assets</t>
  </si>
  <si>
    <t>BAL_assets_total_2024</t>
  </si>
  <si>
    <t>currentYear_assets_total</t>
  </si>
  <si>
    <t>Total capitalization</t>
  </si>
  <si>
    <t>BAL_debt_long_term_2024 + BAL_equity_shareholders_2024</t>
  </si>
  <si>
    <t>currentYear_total_capitalization</t>
  </si>
  <si>
    <t>Total liabilities</t>
  </si>
  <si>
    <t>BAL_liabilities_total_2024</t>
  </si>
  <si>
    <t>currentYear_liabilities_total</t>
  </si>
  <si>
    <t>─── Mixed Year (Averages) ───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</si>
  <si>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</si>
  <si>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</si>
  <si>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</si>
  <si>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</si>
  <si>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</si>
  <si>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</si>
  <si>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</si>
  <si>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</si>
  <si>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</si>
  <si>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Long-term debt + Equity</t>
  </si>
  <si>
    <t>currentYear_debt_long_term + currentYear_equity</t>
  </si>
  <si>
    <t>debt_long_term_equity</t>
  </si>
  <si>
    <t>Ratio</t>
  </si>
  <si>
    <t>Output ← Students Complete</t>
  </si>
  <si>
    <t>Named Range Formula (reference)</t>
  </si>
  <si>
    <t>Performance</t>
  </si>
  <si>
    <t>Market value added (MVA)</t>
  </si>
  <si>
    <t>market_capitalization − currentYear_equity</t>
  </si>
  <si>
    <t>RATIO_mva</t>
  </si>
  <si>
    <t>Market-to-book ratio</t>
  </si>
  <si>
    <t>market_capitalization / currentYear_equity</t>
  </si>
  <si>
    <t>RATIO_market_to_book</t>
  </si>
  <si>
    <t>Economic value added (EVA)</t>
  </si>
  <si>
    <t>currentYear_after_tax_operating_income − (cost_capital × startYear_total_capitalization)</t>
  </si>
  <si>
    <t>RATIO_eva</t>
  </si>
  <si>
    <t>Profitability</t>
  </si>
  <si>
    <t>Return on assets (ROA)</t>
  </si>
  <si>
    <t>currentYear_after_tax_operating_income / startYear_total_assets</t>
  </si>
  <si>
    <t>RATIO_roa_start</t>
  </si>
  <si>
    <t>Return on capital (ROC)</t>
  </si>
  <si>
    <t>currentYear_after_tax_operating_income / startYear_total_capitalization</t>
  </si>
  <si>
    <t>RATIO_roc_start</t>
  </si>
  <si>
    <t>Return on equity (ROE)</t>
  </si>
  <si>
    <t>INC_net / startYear_equity</t>
  </si>
  <si>
    <t>RATIO_roe_start</t>
  </si>
  <si>
    <t>Return on assets (ROA) [AVG]</t>
  </si>
  <si>
    <t>currentYear_after_tax_operating_income / avg_total_assets</t>
  </si>
  <si>
    <t>RATIO_roa_avg</t>
  </si>
  <si>
    <t>Return on capital (ROC) [AVG]</t>
  </si>
  <si>
    <t>currentYear_after_tax_operating_income / avg_total_capitalization</t>
  </si>
  <si>
    <t>RATIO_roc_avg</t>
  </si>
  <si>
    <t>Return on equity (ROE) [AVG]</t>
  </si>
  <si>
    <t>INC_net / avg_equity</t>
  </si>
  <si>
    <t>RATIO_roe_avg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</si>
  <si>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</si>
  <si>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</si>
  <si>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</si>
  <si>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</si>
  <si>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</si>
  <si>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</si>
  <si>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RATIO_receivables_turnover</t>
  </si>
  <si>
    <t>Average collection period (days)</t>
  </si>
  <si>
    <t>startYear_receivables / currentYear_daily_sales_average</t>
  </si>
  <si>
    <t>RATIO_avg_collection_period</t>
  </si>
  <si>
    <t>Inventory turnover</t>
  </si>
  <si>
    <t>INC_cost_goods_sold / startYear_inventory</t>
  </si>
  <si>
    <t>RATIO_inventory_turnover</t>
  </si>
  <si>
    <t>Days in inventory</t>
  </si>
  <si>
    <t>startYear_inventory / currentYear_cost_goods_sold_daily</t>
  </si>
  <si>
    <t>RATIO_days_inventory</t>
  </si>
  <si>
    <t>Profit margin</t>
  </si>
  <si>
    <t>INC_net / INC_sales</t>
  </si>
  <si>
    <t>RATIO_profit_margin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</si>
  <si>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</si>
  <si>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</si>
  <si>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</si>
  <si>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</si>
  <si>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</si>
  <si>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</si>
  <si>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RATIO_lt_debt_ratio</t>
  </si>
  <si>
    <t>Long-term debt-equity ratio</t>
  </si>
  <si>
    <t>currentYear_debt_long_term / currentYear_equity</t>
  </si>
  <si>
    <t>RATIO_debt_equity</t>
  </si>
  <si>
    <t>Total debt ratio</t>
  </si>
  <si>
    <t>currentYear_liabilities_total / currentYear_assets_total</t>
  </si>
  <si>
    <t>RATIO_total_debt_ratio</t>
  </si>
  <si>
    <t>Times interest earned</t>
  </si>
  <si>
    <t>INC_ebit / INC_interest_expense</t>
  </si>
  <si>
    <t>RATIO_times_interest_earned</t>
  </si>
  <si>
    <t>Cash coverage ratio</t>
  </si>
  <si>
    <t>(INC_ebit + INC_depreciation) / INC_interest_expense</t>
  </si>
  <si>
    <t>RATIO_cash_coverage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</si>
  <si>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</si>
  <si>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</si>
  <si>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</si>
  <si>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</si>
  <si>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</si>
  <si>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</si>
  <si>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</si>
  <si>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</si>
  <si>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</si>
  <si>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RATIO_nwc_to_assets</t>
  </si>
  <si>
    <t>Current ratio</t>
  </si>
  <si>
    <t>currentYear_assets_current / currentYear_liabilities_current</t>
  </si>
  <si>
    <t>RATIO_current_ratio</t>
  </si>
  <si>
    <t>Quick ratio</t>
  </si>
  <si>
    <t>(currentYear_cash_marketable_securities + BAL_receivables_YEAR) / currentYear_liabilities_current</t>
  </si>
  <si>
    <t>RATIO_quick_ratio</t>
  </si>
  <si>
    <t>Cash ratio</t>
  </si>
  <si>
    <t>currentYear_cash_marketable_securities / currentYear_liabilities_current</t>
  </si>
  <si>
    <t>RATIO_cash_ratio</t>
  </si>
  <si>
    <t>Du Pont System</t>
  </si>
  <si>
    <t>Return on assets (Du Pont)</t>
  </si>
  <si>
    <t>RATIO_asset_turnover × RATIO_operating_profit_margin</t>
  </si>
  <si>
    <t>RATIO_dupont_roa</t>
  </si>
  <si>
    <t xml:space="preserve">  └   └ Asset turnover</t>
  </si>
  <si>
    <t>→ from Efficiency section</t>
  </si>
  <si>
    <t xml:space="preserve">  └   └ Operating profit margin</t>
  </si>
  <si>
    <t>Return on equity (Du Pont)</t>
  </si>
  <si>
    <t>RATIO_leverage × RATIO_asset_turnover × RATIO_operating_profit_margin × RATIO_debt_burden</t>
  </si>
  <si>
    <t>RATIO_dupont_roe</t>
  </si>
  <si>
    <t xml:space="preserve">  └   └ Leverage ratio</t>
  </si>
  <si>
    <t>→ from Leverage section</t>
  </si>
  <si>
    <t xml:space="preserve">  └   └ Debt burden</t>
  </si>
  <si>
    <t>Color Key:</t>
  </si>
  <si>
    <t>Blue = Assumptions (analyst inputs)</t>
  </si>
  <si>
    <t>Yellow = Data inputs (from financials)</t>
  </si>
  <si>
    <t>Light yellow = Student formula output cells</t>
  </si>
  <si>
    <t>Notes &amp; Assumptions — Microsoft Corporation (MSFT)</t>
  </si>
  <si>
    <t>Company:</t>
  </si>
  <si>
    <t>Microsoft Corporation</t>
  </si>
  <si>
    <t>Ticker:</t>
  </si>
  <si>
    <t>MSFT</t>
  </si>
  <si>
    <t>Industry:</t>
  </si>
  <si>
    <t>Technology – Cloud, Software &amp; Productivity</t>
  </si>
  <si>
    <t>Fiscal Year (current):</t>
  </si>
  <si>
    <t>Fiscal Year (prior):</t>
  </si>
  <si>
    <t>Data Source:</t>
  </si>
  <si>
    <t>Microsoft 10-K FY2024, SEC EDGAR</t>
  </si>
  <si>
    <t>Units:</t>
  </si>
  <si>
    <t>All figures in millions of US dollars unless otherwise noted.</t>
  </si>
  <si>
    <t>Tax Rate:</t>
  </si>
  <si>
    <t>16.1% — use as analyst assumption (adjust to effective rate if preferred)</t>
  </si>
  <si>
    <t>Cost of Capital:</t>
  </si>
  <si>
    <t>8.8% — estimated WACC; students may refine using CAPM + class methodology</t>
  </si>
  <si>
    <t>Share Price:</t>
  </si>
  <si>
    <t>$446.36 — end-of-fiscal-year closing price</t>
  </si>
  <si>
    <t>Shares Outstanding:</t>
  </si>
  <si>
    <t>7,433M shares</t>
  </si>
  <si>
    <t>BUS-314 Project Use:</t>
  </si>
  <si>
    <t>This workbook provides real financial statement data for the Accounting &amp; Performance Ratios project.</t>
  </si>
  <si>
    <t>Stage 2 Task:</t>
  </si>
  <si>
    <t>Complete the Ratios tab by entering formulas using the named ranges shown in column D.</t>
  </si>
  <si>
    <t>Stage 3 Task:</t>
  </si>
  <si>
    <t>Document your model in a Technical Specification using the template-spec.md template.</t>
  </si>
  <si>
    <t>Stage 4 Task:</t>
  </si>
  <si>
    <t>Interpret results and write an executive memo with strategic recommendations.</t>
  </si>
  <si>
    <t>AI Usage:</t>
  </si>
  <si>
    <t>[Document any AI tools used and how they were applied — required per course AI guidelines]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</si>
</sst>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0.0%"/>
    <numFmt numFmtId="166" formatCode="0.0%;\(0.0%\);\-"/>
    <numFmt numFmtId="167" formatCode="#,##0.000"/>
    <numFmt numFmtId="168" formatCode="0.00\x"/>
    <numFmt numFmtId="169" formatCode="0.0"/>
  </numFmts>
  <fonts count="2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Open Sans"/>
      <charset val="1"/>
    </font>
    <font>
      <b/>
      <sz val="13"/>
      <color rgb="FF1F3864"/>
      <name val="Open Sans"/>
      <charset val="1"/>
    </font>
    <font>
      <b/>
      <sz val="10"/>
      <color rgb="FFFFFFFF"/>
      <name val="Open Sans"/>
      <charset val="1"/>
    </font>
    <font>
      <b/>
      <sz val="9"/>
      <color rgb="FFFFFFFF"/>
      <name val="Open Sans"/>
      <charset val="1"/>
    </font>
    <font>
      <sz val="8"/>
      <color rgb="FF666666"/>
      <name val="Open Sans"/>
      <charset val="1"/>
    </font>
    <font>
      <sz val="10"/>
      <color rgb="FF000000"/>
      <name val="Open Sans"/>
      <charset val="1"/>
    </font>
    <font>
      <sz val="10"/>
      <color rgb="FF0000FF"/>
      <name val="Open Sans"/>
      <charset val="1"/>
    </font>
    <font>
      <b/>
      <sz val="10"/>
      <color rgb="FF000000"/>
      <name val="Open Sans"/>
      <charset val="1"/>
    </font>
    <font>
      <b/>
      <sz val="10"/>
      <color rgb="FF1F3864"/>
      <name val="Open Sans"/>
      <charset val="1"/>
    </font>
    <font>
      <b/>
      <sz val="11"/>
      <color rgb="FF1F3864"/>
      <name val="Open Sans"/>
      <charset val="1"/>
    </font>
    <font>
      <i/>
      <sz val="9"/>
      <color rgb="FF999999"/>
      <name val="Open Sans"/>
      <charset val="1"/>
    </font>
    <font>
      <sz val="9"/>
      <color rgb="FF444444"/>
      <name val="Open Sans"/>
      <charset val="1"/>
    </font>
    <font>
      <sz val="9"/>
      <color rgb="FF1F3864"/>
      <name val="Open Sans"/>
      <charset val="1"/>
    </font>
    <font>
      <b/>
      <sz val="11"/>
      <color rgb="FF1F3864"/>
      <name val="Arial"/>
      <family val="2"/>
    </font>
    <font>
      <i/>
      <sz val="9"/>
      <color rgb="FF595959"/>
      <name val="Arial"/>
      <family val="2"/>
    </font>
    <font>
      <sz val="9"/>
      <color rgb="FF777777"/>
      <name val="Open Sans"/>
      <charset val="1"/>
    </font>
    <font>
      <b/>
      <sz val="9"/>
      <color rgb="FF000000"/>
      <name val="Open Sans"/>
      <charset val="1"/>
    </font>
    <font>
      <sz val="8"/>
      <color rgb="FF000000"/>
      <name val="Open Sans"/>
      <charset val="1"/>
    </font>
    <font>
      <b/>
      <sz val="9"/>
      <color rgb="FF1F3864"/>
      <name val="Open Sans"/>
      <charset val="1"/>
    </font>
    <font>
      <sz val="9"/>
      <color rgb="FF000000"/>
      <name val="Open Sans"/>
      <charset val="1"/>
    </font>
    <font>
      <sz val="10"/>
      <color rgb="FF000000"/>
      <name val="Open Sans"/>
    </font>
    <font>
      <b/>
      <sz val="10"/>
      <color rgb="FFFFFFFF"/>
      <name val="Open Sans"/>
    </font>
    <font>
      <sz val="10"/>
      <color theme="1"/>
      <name val="Open Sans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FF2CC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C6EFCE"/>
        <bgColor rgb="FFD6E4F7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FFF2CC"/>
        <bgColor rgb="FFD6E4F7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6" fillId="3" borderId="0" xfId="0" applyFont="1" applyFill="1"/>
    <xf numFmtId="0" fontId="4" fillId="4" borderId="0" xfId="0" applyFont="1" applyFill="1" applyAlignment="1">
      <alignment horizontal="left" vertical="center"/>
    </xf>
    <xf numFmtId="0" fontId="2" fillId="4" borderId="0" xfId="0" applyFont="1" applyFill="1"/>
    <xf numFmtId="0" fontId="7" fillId="3" borderId="0" xfId="0" applyFont="1" applyFill="1" applyAlignment="1">
      <alignment horizontal="left" vertical="center"/>
    </xf>
    <xf numFmtId="164" fontId="8" fillId="5" borderId="1" xfId="0" applyNumberFormat="1" applyFont="1" applyFill="1" applyBorder="1" applyAlignment="1">
      <alignment horizontal="right" vertical="center"/>
    </xf>
    <xf numFmtId="0" fontId="9" fillId="6" borderId="0" xfId="0" applyFont="1" applyFill="1" applyAlignment="1">
      <alignment horizontal="left" vertical="center"/>
    </xf>
    <xf numFmtId="3" fontId="7" fillId="7" borderId="1" xfId="0" applyNumberFormat="1" applyFont="1" applyFill="1" applyBorder="1" applyAlignment="1">
      <alignment horizontal="right" vertical="center"/>
    </xf>
    <xf numFmtId="3" fontId="10" fillId="7" borderId="1" xfId="0" applyNumberFormat="1" applyFont="1" applyFill="1" applyBorder="1" applyAlignment="1">
      <alignment horizontal="right" vertical="center"/>
    </xf>
    <xf numFmtId="3" fontId="8" fillId="7" borderId="1" xfId="0" applyNumberFormat="1" applyFont="1" applyFill="1" applyBorder="1" applyAlignment="1">
      <alignment horizontal="right" vertical="center"/>
    </xf>
    <xf numFmtId="0" fontId="11" fillId="2" borderId="0" xfId="0" applyFont="1" applyFill="1" applyAlignment="1">
      <alignment horizontal="left" vertical="center"/>
    </xf>
    <xf numFmtId="3" fontId="4" fillId="2" borderId="1" xfId="0" applyNumberFormat="1" applyFont="1" applyFill="1" applyBorder="1" applyAlignment="1">
      <alignment horizontal="right" vertical="center"/>
    </xf>
    <xf numFmtId="0" fontId="12" fillId="0" borderId="0" xfId="0" applyFont="1"/>
    <xf numFmtId="3" fontId="12" fillId="0" borderId="0" xfId="0" applyNumberFormat="1" applyFont="1"/>
    <xf numFmtId="0" fontId="6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/>
    <xf numFmtId="164" fontId="8" fillId="5" borderId="0" xfId="0" applyNumberFormat="1" applyFont="1" applyFill="1" applyAlignment="1">
      <alignment horizontal="right" vertical="center"/>
    </xf>
    <xf numFmtId="165" fontId="7" fillId="8" borderId="0" xfId="0" applyNumberFormat="1" applyFont="1" applyFill="1" applyAlignment="1">
      <alignment horizontal="right" vertical="center"/>
    </xf>
    <xf numFmtId="3" fontId="8" fillId="7" borderId="0" xfId="0" applyNumberFormat="1" applyFont="1" applyFill="1" applyAlignment="1">
      <alignment horizontal="right" vertical="center"/>
    </xf>
    <xf numFmtId="166" fontId="7" fillId="8" borderId="0" xfId="0" applyNumberFormat="1" applyFont="1" applyFill="1" applyAlignment="1">
      <alignment horizontal="right" vertical="center"/>
    </xf>
    <xf numFmtId="164" fontId="9" fillId="7" borderId="0" xfId="0" applyNumberFormat="1" applyFont="1" applyFill="1" applyAlignment="1">
      <alignment horizontal="right" vertical="center"/>
    </xf>
    <xf numFmtId="165" fontId="7" fillId="8" borderId="0" xfId="0" applyNumberFormat="1" applyFont="1" applyFill="1"/>
    <xf numFmtId="3" fontId="7" fillId="7" borderId="0" xfId="0" applyNumberFormat="1" applyFont="1" applyFill="1" applyAlignment="1">
      <alignment horizontal="right" vertical="center"/>
    </xf>
    <xf numFmtId="3" fontId="7" fillId="7" borderId="0" xfId="0" applyNumberFormat="1" applyFont="1" applyFill="1"/>
    <xf numFmtId="0" fontId="6" fillId="3" borderId="0" xfId="0" applyFont="1" applyFill="1" applyAlignment="1">
      <alignment horizontal="left" vertical="center"/>
    </xf>
    <xf numFmtId="164" fontId="8" fillId="9" borderId="0" xfId="0" applyNumberFormat="1" applyFont="1" applyFill="1" applyAlignment="1">
      <alignment horizontal="right" vertical="center"/>
    </xf>
    <xf numFmtId="0" fontId="13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5" fillId="4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9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3" fillId="0" borderId="0" xfId="0" applyFont="1"/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 wrapText="1"/>
    </xf>
    <xf numFmtId="4" fontId="22" fillId="7" borderId="0" xfId="0" applyNumberFormat="1" applyFont="1" applyFill="1" applyAlignment="1">
      <alignment horizontal="right" vertical="center"/>
    </xf>
    <xf numFmtId="3" fontId="22" fillId="7" borderId="0" xfId="0" applyNumberFormat="1" applyFont="1" applyFill="1" applyAlignment="1">
      <alignment horizontal="right" vertical="center"/>
    </xf>
    <xf numFmtId="167" fontId="22" fillId="7" borderId="0" xfId="0" applyNumberFormat="1" applyFont="1" applyFill="1" applyAlignment="1">
      <alignment horizontal="right" vertical="center"/>
    </xf>
    <xf numFmtId="0" fontId="23" fillId="2" borderId="1" xfId="0" applyFont="1" applyFill="1" applyBorder="1" applyAlignment="1">
      <alignment horizontal="center" vertical="center"/>
    </xf>
    <xf numFmtId="0" fontId="24" fillId="0" borderId="0" xfId="0" applyFont="1"/>
    <xf numFmtId="0" fontId="24" fillId="4" borderId="0" xfId="0" applyFont="1" applyFill="1"/>
    <xf numFmtId="10" fontId="22" fillId="11" borderId="1" xfId="0" applyNumberFormat="1" applyFont="1" applyFill="1" applyBorder="1" applyAlignment="1">
      <alignment horizontal="right"/>
    </xf>
    <xf numFmtId="168" fontId="22" fillId="11" borderId="1" xfId="0" applyNumberFormat="1" applyFont="1" applyFill="1" applyBorder="1" applyAlignment="1">
      <alignment horizontal="right"/>
    </xf>
    <xf numFmtId="169" fontId="22" fillId="11" borderId="1" xfId="0" applyNumberFormat="1" applyFont="1" applyFill="1" applyBorder="1" applyAlignment="1">
      <alignment horizontal="right"/>
    </xf>
    <xf numFmtId="3" fontId="22" fillId="11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AAAA"/>
      <rgbColor rgb="FF777777"/>
      <rgbColor rgb="FF9999FF"/>
      <rgbColor rgb="FF595959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2F549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zoomScaleNormal="100"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G10" sqref="G10"/>
    </sheetView>
  </sheetViews>
  <sheetFormatPr defaultColWidth="8.5703125" defaultRowHeight="15" x14ac:dyDescent="0.25"/>
  <cols>
    <col min="1" max="1" width="2" customWidth="1"/>
    <col min="2" max="2" width="36" customWidth="1"/>
    <col min="3" max="4" width="16" customWidth="1"/>
    <col min="5" max="5" width="2" customWidth="1"/>
    <col min="6" max="6" width="36" customWidth="1"/>
    <col min="7" max="8" width="16" customWidth="1"/>
  </cols>
  <sheetData>
    <row r="1" spans="1:8" ht="21.75" customHeight="1" x14ac:dyDescent="0.25">
      <c r="A1" s="1"/>
      <c r="B1" s="2" t="s">
        <v>0</v>
      </c>
      <c r="C1" s="1"/>
      <c r="D1" s="1"/>
      <c r="E1" s="1"/>
      <c r="F1" s="1"/>
      <c r="G1" s="1"/>
      <c r="H1" s="1"/>
    </row>
    <row r="2" spans="1:8" ht="18" customHeight="1" x14ac:dyDescent="0.25">
      <c r="A2" s="1"/>
      <c r="B2" s="3" t="s">
        <v>1</v>
      </c>
      <c r="C2" s="4" t="s">
        <v>2</v>
      </c>
      <c r="D2" s="4" t="s">
        <v>3</v>
      </c>
      <c r="E2" s="5"/>
      <c r="F2" s="3" t="s">
        <v>4</v>
      </c>
      <c r="G2" s="4" t="s">
        <v>2</v>
      </c>
      <c r="H2" s="4" t="s">
        <v>3</v>
      </c>
    </row>
    <row r="3" spans="1:8" ht="12" customHeight="1" x14ac:dyDescent="0.25">
      <c r="A3" s="1"/>
      <c r="B3" s="6" t="s">
        <v>5</v>
      </c>
      <c r="C3" s="5"/>
      <c r="D3" s="5"/>
      <c r="E3" s="1"/>
      <c r="F3" s="6" t="s">
        <v>5</v>
      </c>
      <c r="G3" s="5"/>
      <c r="H3" s="5"/>
    </row>
    <row r="4" spans="1:8" ht="15.75" customHeight="1" x14ac:dyDescent="0.25">
      <c r="A4" s="1"/>
      <c r="B4" s="7" t="s">
        <v>6</v>
      </c>
      <c r="C4" s="8"/>
      <c r="D4" s="8"/>
      <c r="E4" s="5"/>
      <c r="F4" s="7" t="s">
        <v>7</v>
      </c>
      <c r="G4" s="8"/>
      <c r="H4" s="8"/>
    </row>
    <row r="5" spans="1:8" ht="15" customHeight="1" x14ac:dyDescent="0.25">
      <c r="A5" s="1"/>
      <c r="B5" s="9" t="s">
        <v>8</v>
      </c>
      <c r="C5" s="10">
        <v>18314</v>
      </c>
      <c r="D5" s="10">
        <v>34704</v>
      </c>
      <c r="E5" s="5"/>
      <c r="F5" s="9" t="s">
        <v>9</v>
      </c>
      <c r="G5" s="10">
        <v>9439</v>
      </c>
      <c r="H5" s="10">
        <v>9023</v>
      </c>
    </row>
    <row r="6" spans="1:8" ht="15" customHeight="1" x14ac:dyDescent="0.25">
      <c r="A6" s="1"/>
      <c r="B6" s="9" t="s">
        <v>10</v>
      </c>
      <c r="C6" s="10">
        <v>43482</v>
      </c>
      <c r="D6" s="10">
        <v>48688</v>
      </c>
      <c r="E6" s="5"/>
      <c r="F6" s="9" t="s">
        <v>11</v>
      </c>
      <c r="G6" s="10">
        <v>23572</v>
      </c>
      <c r="H6" s="10">
        <v>21113</v>
      </c>
    </row>
    <row r="7" spans="1:8" ht="15" customHeight="1" x14ac:dyDescent="0.25">
      <c r="A7" s="1"/>
      <c r="B7" s="9" t="s">
        <v>12</v>
      </c>
      <c r="C7" s="10">
        <v>2579</v>
      </c>
      <c r="D7" s="10">
        <v>2500</v>
      </c>
      <c r="E7" s="5"/>
      <c r="F7" s="9" t="s">
        <v>13</v>
      </c>
      <c r="G7" s="10">
        <v>49577</v>
      </c>
      <c r="H7" s="10">
        <v>47516</v>
      </c>
    </row>
    <row r="8" spans="1:8" ht="15" customHeight="1" x14ac:dyDescent="0.25">
      <c r="A8" s="1"/>
      <c r="B8" s="9" t="s">
        <v>14</v>
      </c>
      <c r="C8" s="10">
        <v>24285</v>
      </c>
      <c r="D8" s="10">
        <v>21260</v>
      </c>
      <c r="E8" s="5"/>
      <c r="F8" s="11" t="s">
        <v>15</v>
      </c>
      <c r="G8" s="12">
        <f>SUM(G5:G7)</f>
        <v>82588</v>
      </c>
      <c r="H8" s="12">
        <f>SUM(H5:H7)</f>
        <v>77652</v>
      </c>
    </row>
    <row r="9" spans="1:8" ht="15" customHeight="1" x14ac:dyDescent="0.25">
      <c r="A9" s="1"/>
      <c r="B9" s="11" t="s">
        <v>16</v>
      </c>
      <c r="C9" s="13">
        <f>SUM(C5:C8)</f>
        <v>88660</v>
      </c>
      <c r="D9" s="13">
        <f>SUM(D5:D8)</f>
        <v>107152</v>
      </c>
      <c r="E9" s="5"/>
      <c r="F9" s="1"/>
      <c r="G9" s="1"/>
      <c r="H9" s="1"/>
    </row>
    <row r="10" spans="1:8" ht="6" customHeight="1" x14ac:dyDescent="0.25">
      <c r="A10" s="1"/>
      <c r="B10" s="1"/>
      <c r="C10" s="1"/>
      <c r="D10" s="1"/>
      <c r="E10" s="5"/>
      <c r="F10" s="9" t="s">
        <v>17</v>
      </c>
      <c r="G10" s="10">
        <v>42688</v>
      </c>
      <c r="H10" s="10">
        <v>41990</v>
      </c>
    </row>
    <row r="11" spans="1:8" ht="15.75" customHeight="1" x14ac:dyDescent="0.25">
      <c r="A11" s="1"/>
      <c r="B11" s="7" t="s">
        <v>18</v>
      </c>
      <c r="C11" s="8"/>
      <c r="D11" s="8"/>
      <c r="E11" s="5"/>
      <c r="F11" s="9" t="s">
        <v>19</v>
      </c>
      <c r="G11" s="10">
        <v>27072</v>
      </c>
      <c r="H11" s="10">
        <v>25882</v>
      </c>
    </row>
    <row r="12" spans="1:8" ht="15" customHeight="1" x14ac:dyDescent="0.25">
      <c r="A12" s="1"/>
      <c r="B12" s="9" t="s">
        <v>20</v>
      </c>
      <c r="C12" s="10">
        <v>164278</v>
      </c>
      <c r="D12" s="10">
        <v>131460</v>
      </c>
      <c r="E12" s="5"/>
      <c r="F12" s="1"/>
      <c r="G12" s="1"/>
      <c r="H12" s="1"/>
    </row>
    <row r="13" spans="1:8" ht="15" customHeight="1" x14ac:dyDescent="0.25">
      <c r="A13" s="1"/>
      <c r="B13" s="9" t="s">
        <v>21</v>
      </c>
      <c r="C13" s="10">
        <v>68250</v>
      </c>
      <c r="D13" s="10">
        <v>59660</v>
      </c>
      <c r="E13" s="5"/>
      <c r="F13" s="11" t="s">
        <v>22</v>
      </c>
      <c r="G13" s="12">
        <f>G8+G10+G11</f>
        <v>152348</v>
      </c>
      <c r="H13" s="12">
        <f>H8+H10+H11</f>
        <v>145524</v>
      </c>
    </row>
    <row r="14" spans="1:8" ht="15" customHeight="1" x14ac:dyDescent="0.25">
      <c r="A14" s="1"/>
      <c r="B14" s="11" t="s">
        <v>23</v>
      </c>
      <c r="C14" s="13">
        <f>C12-C13</f>
        <v>96028</v>
      </c>
      <c r="D14" s="13">
        <f>D12-D13</f>
        <v>71800</v>
      </c>
      <c r="E14" s="5"/>
      <c r="F14" s="1"/>
      <c r="G14" s="1"/>
      <c r="H14" s="1"/>
    </row>
    <row r="15" spans="1:8" ht="6" customHeight="1" x14ac:dyDescent="0.25">
      <c r="A15" s="1"/>
      <c r="B15" s="1"/>
      <c r="C15" s="1"/>
      <c r="D15" s="1"/>
      <c r="E15" s="5"/>
      <c r="F15" s="7" t="s">
        <v>24</v>
      </c>
      <c r="G15" s="8"/>
      <c r="H15" s="8"/>
    </row>
    <row r="16" spans="1:8" ht="15.75" customHeight="1" x14ac:dyDescent="0.25">
      <c r="A16" s="1"/>
      <c r="B16" s="7" t="s">
        <v>25</v>
      </c>
      <c r="C16" s="8"/>
      <c r="D16" s="8"/>
      <c r="E16" s="5"/>
      <c r="F16" s="9" t="s">
        <v>26</v>
      </c>
      <c r="G16" s="10">
        <v>97559</v>
      </c>
      <c r="H16" s="10">
        <v>86939</v>
      </c>
    </row>
    <row r="17" spans="1:8" ht="15" customHeight="1" x14ac:dyDescent="0.25">
      <c r="A17" s="1"/>
      <c r="B17" s="9" t="s">
        <v>27</v>
      </c>
      <c r="C17" s="10">
        <v>119021</v>
      </c>
      <c r="D17" s="10">
        <v>67524</v>
      </c>
      <c r="E17" s="5"/>
      <c r="F17" s="9" t="s">
        <v>28</v>
      </c>
      <c r="G17" s="10">
        <v>257689</v>
      </c>
      <c r="H17" s="10">
        <v>225533</v>
      </c>
    </row>
    <row r="18" spans="1:8" ht="15" customHeight="1" x14ac:dyDescent="0.25">
      <c r="A18" s="1"/>
      <c r="B18" s="9" t="s">
        <v>29</v>
      </c>
      <c r="C18" s="14">
        <f>G20-C9-C14-C17</f>
        <v>203887</v>
      </c>
      <c r="D18" s="14">
        <f>H20-D9-D14-D17</f>
        <v>211520</v>
      </c>
      <c r="E18" s="5"/>
      <c r="F18" s="11" t="s">
        <v>30</v>
      </c>
      <c r="G18" s="12">
        <f>G16+G17</f>
        <v>355248</v>
      </c>
      <c r="H18" s="12">
        <f>H16+H17</f>
        <v>312472</v>
      </c>
    </row>
    <row r="19" spans="1:8" ht="6" customHeight="1" x14ac:dyDescent="0.25">
      <c r="A19" s="1"/>
      <c r="B19" s="1"/>
      <c r="C19" s="1"/>
      <c r="D19" s="1"/>
      <c r="E19" s="5"/>
      <c r="F19" s="1"/>
      <c r="G19" s="1"/>
      <c r="H19" s="1"/>
    </row>
    <row r="20" spans="1:8" ht="15" customHeight="1" x14ac:dyDescent="0.25">
      <c r="A20" s="1"/>
      <c r="B20" s="15" t="s">
        <v>31</v>
      </c>
      <c r="C20" s="16">
        <f>C9+C14+C17+C18</f>
        <v>507596</v>
      </c>
      <c r="D20" s="16">
        <f>D9+D14+D17+D18</f>
        <v>457996</v>
      </c>
      <c r="E20" s="5"/>
      <c r="F20" s="15" t="s">
        <v>32</v>
      </c>
      <c r="G20" s="16">
        <f>G13+G18</f>
        <v>507596</v>
      </c>
      <c r="H20" s="16">
        <f>H13+H18</f>
        <v>457996</v>
      </c>
    </row>
    <row r="21" spans="1:8" ht="16.5" customHeight="1" x14ac:dyDescent="0.25">
      <c r="A21" s="1"/>
      <c r="B21" s="17" t="s">
        <v>33</v>
      </c>
      <c r="C21" s="18">
        <f>C20-G20</f>
        <v>0</v>
      </c>
      <c r="D21" s="1"/>
      <c r="E21" s="1"/>
      <c r="F21" s="1"/>
      <c r="G21" s="1"/>
      <c r="H21" s="1"/>
    </row>
    <row r="22" spans="1:8" ht="13.5" customHeight="1" x14ac:dyDescent="0.25">
      <c r="A22" s="1"/>
      <c r="B22" s="19" t="s">
        <v>34</v>
      </c>
      <c r="C22" s="1"/>
      <c r="D22" s="1"/>
      <c r="E22" s="1"/>
      <c r="F22" s="1"/>
      <c r="G22" s="1"/>
      <c r="H22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2" sqref="C12"/>
    </sheetView>
  </sheetViews>
  <sheetFormatPr defaultColWidth="8.5703125" defaultRowHeight="15" x14ac:dyDescent="0.25"/>
  <cols>
    <col min="1" max="1" width="2" customWidth="1"/>
    <col min="2" max="2" width="46" customWidth="1"/>
    <col min="3" max="3" width="18" customWidth="1"/>
    <col min="4" max="4" width="14" customWidth="1"/>
  </cols>
  <sheetData>
    <row r="1" spans="1:4" ht="21.75" customHeight="1" x14ac:dyDescent="0.25">
      <c r="A1" s="1"/>
      <c r="B1" s="2" t="s">
        <v>35</v>
      </c>
      <c r="C1" s="1"/>
      <c r="D1" s="1"/>
    </row>
    <row r="2" spans="1:4" ht="18" customHeight="1" x14ac:dyDescent="0.25">
      <c r="A2" s="1"/>
      <c r="B2" s="20" t="s">
        <v>36</v>
      </c>
      <c r="C2" s="20" t="s">
        <v>2</v>
      </c>
      <c r="D2" s="20" t="s">
        <v>37</v>
      </c>
    </row>
    <row r="3" spans="1:4" ht="12" customHeight="1" x14ac:dyDescent="0.25">
      <c r="A3" s="1"/>
      <c r="B3" s="21" t="s">
        <v>5</v>
      </c>
      <c r="C3" s="1"/>
      <c r="D3" s="1"/>
    </row>
    <row r="4" spans="1:4" ht="15" customHeight="1" x14ac:dyDescent="0.25">
      <c r="A4" s="1"/>
      <c r="B4" s="9" t="s">
        <v>38</v>
      </c>
      <c r="C4" s="22">
        <v>245122</v>
      </c>
      <c r="D4" s="23">
        <f t="shared" ref="D4:D19" si="0">IF(C$4=0,0,C4/C$4)</f>
        <v>1</v>
      </c>
    </row>
    <row r="5" spans="1:4" ht="15" customHeight="1" x14ac:dyDescent="0.25">
      <c r="A5" s="1"/>
      <c r="B5" s="9" t="s">
        <v>39</v>
      </c>
      <c r="C5" s="22">
        <v>74114</v>
      </c>
      <c r="D5" s="23">
        <f t="shared" si="0"/>
        <v>0.30235556172028621</v>
      </c>
    </row>
    <row r="6" spans="1:4" ht="15" customHeight="1" x14ac:dyDescent="0.25">
      <c r="A6" s="1"/>
      <c r="B6" s="9" t="s">
        <v>40</v>
      </c>
      <c r="C6" s="24">
        <v>43930</v>
      </c>
      <c r="D6" s="23">
        <f t="shared" si="0"/>
        <v>0.17921687975783487</v>
      </c>
    </row>
    <row r="7" spans="1:4" ht="15" customHeight="1" x14ac:dyDescent="0.25">
      <c r="A7" s="1"/>
      <c r="B7" s="9" t="s">
        <v>41</v>
      </c>
      <c r="C7" s="22">
        <v>17645</v>
      </c>
      <c r="D7" s="25">
        <f t="shared" si="0"/>
        <v>7.198456278914174E-2</v>
      </c>
    </row>
    <row r="8" spans="1:4" ht="15" customHeight="1" x14ac:dyDescent="0.25">
      <c r="A8" s="1"/>
      <c r="B8" s="11" t="s">
        <v>42</v>
      </c>
      <c r="C8" s="26">
        <f>C4-C5-C6-C7</f>
        <v>109433</v>
      </c>
      <c r="D8" s="23">
        <f t="shared" si="0"/>
        <v>0.44644299573273716</v>
      </c>
    </row>
    <row r="9" spans="1:4" ht="6" customHeight="1" x14ac:dyDescent="0.25">
      <c r="A9" s="1"/>
      <c r="B9" s="1"/>
      <c r="C9" s="1"/>
      <c r="D9" s="27">
        <f t="shared" si="0"/>
        <v>0</v>
      </c>
    </row>
    <row r="10" spans="1:4" ht="15" customHeight="1" x14ac:dyDescent="0.25">
      <c r="A10" s="1"/>
      <c r="B10" s="9" t="s">
        <v>43</v>
      </c>
      <c r="C10" s="22">
        <v>3269</v>
      </c>
      <c r="D10" s="23">
        <f t="shared" si="0"/>
        <v>1.3336216251499253E-2</v>
      </c>
    </row>
    <row r="11" spans="1:4" ht="15" customHeight="1" x14ac:dyDescent="0.25">
      <c r="A11" s="1"/>
      <c r="B11" s="9" t="s">
        <v>44</v>
      </c>
      <c r="C11" s="22">
        <v>2935</v>
      </c>
      <c r="D11" s="25">
        <f t="shared" si="0"/>
        <v>1.1973629457984188E-2</v>
      </c>
    </row>
    <row r="12" spans="1:4" ht="15" customHeight="1" x14ac:dyDescent="0.25">
      <c r="A12" s="1"/>
      <c r="B12" s="11" t="s">
        <v>45</v>
      </c>
      <c r="C12" s="28">
        <f>C8+C10-C11</f>
        <v>109767</v>
      </c>
      <c r="D12" s="23">
        <f t="shared" si="0"/>
        <v>0.44780558252625224</v>
      </c>
    </row>
    <row r="13" spans="1:4" ht="6" customHeight="1" x14ac:dyDescent="0.25">
      <c r="A13" s="1"/>
      <c r="B13" s="1"/>
      <c r="C13" s="1"/>
      <c r="D13" s="27">
        <f t="shared" si="0"/>
        <v>0</v>
      </c>
    </row>
    <row r="14" spans="1:4" ht="15" customHeight="1" x14ac:dyDescent="0.25">
      <c r="A14" s="1"/>
      <c r="B14" s="9" t="s">
        <v>46</v>
      </c>
      <c r="C14" s="22">
        <v>21631</v>
      </c>
      <c r="D14" s="25">
        <f t="shared" si="0"/>
        <v>8.8245853085402365E-2</v>
      </c>
    </row>
    <row r="15" spans="1:4" ht="15" customHeight="1" x14ac:dyDescent="0.25">
      <c r="A15" s="1"/>
      <c r="B15" s="11" t="s">
        <v>47</v>
      </c>
      <c r="C15" s="28">
        <f>C12-C14</f>
        <v>88136</v>
      </c>
      <c r="D15" s="23">
        <f t="shared" si="0"/>
        <v>0.35955972944084985</v>
      </c>
    </row>
    <row r="16" spans="1:4" ht="6" customHeight="1" x14ac:dyDescent="0.25">
      <c r="A16" s="1"/>
      <c r="B16" s="1"/>
      <c r="C16" s="1"/>
      <c r="D16" s="27">
        <f t="shared" si="0"/>
        <v>0</v>
      </c>
    </row>
    <row r="17" spans="1:4" ht="15.75" customHeight="1" x14ac:dyDescent="0.25">
      <c r="A17" s="1"/>
      <c r="B17" s="7" t="s">
        <v>48</v>
      </c>
      <c r="C17" s="29">
        <f>C15-C16</f>
        <v>88136</v>
      </c>
      <c r="D17" s="27">
        <f t="shared" si="0"/>
        <v>0.35955972944084985</v>
      </c>
    </row>
    <row r="18" spans="1:4" ht="15" customHeight="1" x14ac:dyDescent="0.25">
      <c r="A18" s="1"/>
      <c r="B18" s="9" t="s">
        <v>49</v>
      </c>
      <c r="C18" s="22">
        <v>21771</v>
      </c>
      <c r="D18" s="23">
        <f t="shared" si="0"/>
        <v>8.8816997250348806E-2</v>
      </c>
    </row>
    <row r="19" spans="1:4" ht="15" customHeight="1" x14ac:dyDescent="0.25">
      <c r="A19" s="1"/>
      <c r="B19" s="9" t="s">
        <v>50</v>
      </c>
      <c r="C19" s="28">
        <f>C15-C18</f>
        <v>66365</v>
      </c>
      <c r="D19" s="23">
        <f t="shared" si="0"/>
        <v>0.27074273219050105</v>
      </c>
    </row>
    <row r="20" spans="1:4" ht="16.5" customHeight="1" x14ac:dyDescent="0.25">
      <c r="A20" s="1"/>
      <c r="B20" s="1"/>
      <c r="C20" s="1"/>
      <c r="D20" s="1"/>
    </row>
    <row r="21" spans="1:4" ht="15" customHeight="1" x14ac:dyDescent="0.25">
      <c r="A21" s="1"/>
      <c r="B21" s="21" t="s">
        <v>34</v>
      </c>
      <c r="C21" s="1"/>
      <c r="D21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showGridLines="0" zoomScaleNormal="100" workbookViewId="0">
      <pane xSplit="1" ySplit="2" topLeftCell="B18" activePane="bottomRight" state="frozen"/>
      <selection pane="topRight" activeCell="B1" sqref="B1"/>
      <selection pane="bottomLeft" activeCell="A3" sqref="A3"/>
      <selection pane="bottomRight"/>
    </sheetView>
  </sheetViews>
  <sheetFormatPr defaultColWidth="8.5703125" defaultRowHeight="15" x14ac:dyDescent="0.25"/>
  <cols>
    <col min="1" max="1" width="2" customWidth="1"/>
    <col min="2" max="2" width="52" customWidth="1"/>
    <col min="3" max="3" width="18" customWidth="1"/>
    <col min="4" max="4" width="22" customWidth="1"/>
  </cols>
  <sheetData>
    <row r="1" spans="1:4" ht="21.75" customHeight="1" x14ac:dyDescent="0.25">
      <c r="A1" s="1"/>
      <c r="B1" s="2" t="s">
        <v>51</v>
      </c>
      <c r="C1" s="1"/>
      <c r="D1" s="1"/>
    </row>
    <row r="2" spans="1:4" ht="18" customHeight="1" x14ac:dyDescent="0.25">
      <c r="A2" s="1"/>
      <c r="B2" s="20" t="s">
        <v>36</v>
      </c>
      <c r="C2" s="20" t="s">
        <v>2</v>
      </c>
      <c r="D2" s="20" t="s">
        <v>52</v>
      </c>
    </row>
    <row r="3" spans="1:4" ht="12" customHeight="1" x14ac:dyDescent="0.25">
      <c r="A3" s="1"/>
      <c r="B3" s="21" t="s">
        <v>5</v>
      </c>
      <c r="C3" s="1"/>
      <c r="D3" s="1"/>
    </row>
    <row r="4" spans="1:4" ht="15.75" customHeight="1" x14ac:dyDescent="0.25">
      <c r="A4" s="1"/>
      <c r="B4" s="7" t="s">
        <v>53</v>
      </c>
      <c r="C4" s="8"/>
      <c r="D4" s="8"/>
    </row>
    <row r="5" spans="1:4" ht="15" customHeight="1" x14ac:dyDescent="0.25">
      <c r="A5" s="1"/>
      <c r="B5" s="9" t="s">
        <v>47</v>
      </c>
      <c r="C5" s="22">
        <f>'Income Statement'!C15</f>
        <v>88136</v>
      </c>
      <c r="D5" s="30" t="s">
        <v>54</v>
      </c>
    </row>
    <row r="6" spans="1:4" ht="15" customHeight="1" x14ac:dyDescent="0.25">
      <c r="A6" s="1"/>
      <c r="B6" s="9" t="s">
        <v>55</v>
      </c>
      <c r="C6" s="22">
        <f>'Income Statement'!C7</f>
        <v>17645</v>
      </c>
      <c r="D6" s="30" t="s">
        <v>54</v>
      </c>
    </row>
    <row r="7" spans="1:4" ht="15" customHeight="1" x14ac:dyDescent="0.25">
      <c r="A7" s="1"/>
      <c r="B7" s="9" t="s">
        <v>56</v>
      </c>
      <c r="C7" s="22"/>
      <c r="D7" s="30"/>
    </row>
    <row r="8" spans="1:4" ht="15" customHeight="1" x14ac:dyDescent="0.25">
      <c r="A8" s="1"/>
      <c r="B8" s="9" t="s">
        <v>57</v>
      </c>
      <c r="C8" s="22">
        <v>5193</v>
      </c>
      <c r="D8" s="30" t="s">
        <v>58</v>
      </c>
    </row>
    <row r="9" spans="1:4" ht="15" customHeight="1" x14ac:dyDescent="0.25">
      <c r="A9" s="1"/>
      <c r="B9" s="9" t="s">
        <v>59</v>
      </c>
      <c r="C9" s="22">
        <v>-79</v>
      </c>
      <c r="D9" s="30" t="s">
        <v>58</v>
      </c>
    </row>
    <row r="10" spans="1:4" ht="15" customHeight="1" x14ac:dyDescent="0.25">
      <c r="A10" s="1"/>
      <c r="B10" s="9" t="s">
        <v>60</v>
      </c>
      <c r="C10" s="22">
        <v>-3025</v>
      </c>
      <c r="D10" s="30" t="s">
        <v>58</v>
      </c>
    </row>
    <row r="11" spans="1:4" ht="15" customHeight="1" x14ac:dyDescent="0.25">
      <c r="A11" s="1"/>
      <c r="B11" s="9" t="s">
        <v>61</v>
      </c>
      <c r="C11" s="22">
        <v>2459</v>
      </c>
      <c r="D11" s="30" t="s">
        <v>58</v>
      </c>
    </row>
    <row r="12" spans="1:4" ht="15" customHeight="1" x14ac:dyDescent="0.25">
      <c r="A12" s="1"/>
      <c r="B12" s="9" t="s">
        <v>62</v>
      </c>
      <c r="C12" s="22">
        <v>2961</v>
      </c>
      <c r="D12" s="30" t="s">
        <v>58</v>
      </c>
    </row>
    <row r="13" spans="1:4" ht="15" customHeight="1" x14ac:dyDescent="0.25">
      <c r="A13" s="1"/>
      <c r="B13" s="11" t="s">
        <v>63</v>
      </c>
      <c r="C13" s="28">
        <f>SUM(C8:C12)</f>
        <v>7509</v>
      </c>
      <c r="D13" s="30"/>
    </row>
    <row r="14" spans="1:4" ht="15" customHeight="1" x14ac:dyDescent="0.25">
      <c r="A14" s="1"/>
      <c r="B14" s="11" t="s">
        <v>64</v>
      </c>
      <c r="C14" s="28">
        <f>C5+C6+C13</f>
        <v>113290</v>
      </c>
      <c r="D14" s="30"/>
    </row>
    <row r="15" spans="1:4" ht="6" customHeight="1" x14ac:dyDescent="0.25">
      <c r="A15" s="1"/>
      <c r="B15" s="1"/>
      <c r="C15" s="1"/>
      <c r="D15" s="1"/>
    </row>
    <row r="16" spans="1:4" ht="15.75" customHeight="1" x14ac:dyDescent="0.25">
      <c r="A16" s="1"/>
      <c r="B16" s="7" t="s">
        <v>65</v>
      </c>
      <c r="C16" s="8"/>
      <c r="D16" s="8"/>
    </row>
    <row r="17" spans="1:4" ht="15" customHeight="1" x14ac:dyDescent="0.25">
      <c r="A17" s="1"/>
      <c r="B17" s="9" t="s">
        <v>66</v>
      </c>
      <c r="C17" s="22">
        <v>-44482</v>
      </c>
      <c r="D17" s="30"/>
    </row>
    <row r="18" spans="1:4" ht="15" customHeight="1" x14ac:dyDescent="0.25">
      <c r="A18" s="1"/>
      <c r="B18" s="9" t="s">
        <v>67</v>
      </c>
      <c r="C18" s="22">
        <v>1532</v>
      </c>
      <c r="D18" s="30"/>
    </row>
    <row r="19" spans="1:4" ht="15" customHeight="1" x14ac:dyDescent="0.25">
      <c r="A19" s="1"/>
      <c r="B19" s="9" t="s">
        <v>68</v>
      </c>
      <c r="C19" s="22">
        <v>-12659</v>
      </c>
      <c r="D19" s="30"/>
    </row>
    <row r="20" spans="1:4" ht="15" customHeight="1" x14ac:dyDescent="0.25">
      <c r="A20" s="1"/>
      <c r="B20" s="11" t="s">
        <v>69</v>
      </c>
      <c r="C20" s="28">
        <f>SUM(C17:C19)</f>
        <v>-55609</v>
      </c>
      <c r="D20" s="30"/>
    </row>
    <row r="21" spans="1:4" ht="6" customHeight="1" x14ac:dyDescent="0.25">
      <c r="A21" s="1"/>
      <c r="B21" s="1"/>
      <c r="C21" s="1"/>
      <c r="D21" s="1"/>
    </row>
    <row r="22" spans="1:4" ht="15.75" customHeight="1" x14ac:dyDescent="0.25">
      <c r="A22" s="1"/>
      <c r="B22" s="7" t="s">
        <v>70</v>
      </c>
      <c r="C22" s="8"/>
      <c r="D22" s="8"/>
    </row>
    <row r="23" spans="1:4" ht="15" customHeight="1" x14ac:dyDescent="0.25">
      <c r="A23" s="1"/>
      <c r="B23" s="9" t="s">
        <v>71</v>
      </c>
      <c r="C23" s="22">
        <v>-2801</v>
      </c>
      <c r="D23" s="30"/>
    </row>
    <row r="24" spans="1:4" ht="15" customHeight="1" x14ac:dyDescent="0.25">
      <c r="A24" s="1"/>
      <c r="B24" s="9" t="s">
        <v>72</v>
      </c>
      <c r="C24" s="22">
        <v>-2250</v>
      </c>
      <c r="D24" s="30"/>
    </row>
    <row r="25" spans="1:4" ht="15" customHeight="1" x14ac:dyDescent="0.25">
      <c r="A25" s="1"/>
      <c r="B25" s="9" t="s">
        <v>73</v>
      </c>
      <c r="C25" s="22">
        <f>-'Income Statement'!C18</f>
        <v>-21771</v>
      </c>
      <c r="D25" s="30"/>
    </row>
    <row r="26" spans="1:4" ht="15" customHeight="1" x14ac:dyDescent="0.25">
      <c r="A26" s="1"/>
      <c r="B26" s="9" t="s">
        <v>74</v>
      </c>
      <c r="C26" s="22">
        <v>-16870</v>
      </c>
      <c r="D26" s="30"/>
    </row>
    <row r="27" spans="1:4" ht="15" customHeight="1" x14ac:dyDescent="0.25">
      <c r="A27" s="1"/>
      <c r="B27" s="9" t="s">
        <v>75</v>
      </c>
      <c r="C27" s="22">
        <v>-672</v>
      </c>
      <c r="D27" s="30"/>
    </row>
    <row r="28" spans="1:4" ht="15" customHeight="1" x14ac:dyDescent="0.3">
      <c r="A28" s="1"/>
      <c r="B28" s="11" t="s">
        <v>76</v>
      </c>
      <c r="C28" s="28">
        <f>SUM(C23:C27)</f>
        <v>-44364</v>
      </c>
      <c r="D28" s="30"/>
    </row>
    <row r="29" spans="1:4" ht="6" customHeight="1" x14ac:dyDescent="0.3">
      <c r="A29" s="1"/>
      <c r="B29" s="1"/>
      <c r="C29" s="1"/>
      <c r="D29" s="1"/>
    </row>
    <row r="30" spans="1:4" ht="15" customHeight="1" x14ac:dyDescent="0.3">
      <c r="A30" s="1"/>
      <c r="B30" s="11" t="s">
        <v>77</v>
      </c>
      <c r="C30" s="28">
        <f>C14+C20+C28</f>
        <v>13317</v>
      </c>
      <c r="D30" s="30"/>
    </row>
    <row r="31" spans="1:4" ht="16.5" customHeight="1" x14ac:dyDescent="0.3">
      <c r="A31" s="1"/>
      <c r="B31" s="1"/>
      <c r="C31" s="1"/>
      <c r="D31" s="1"/>
    </row>
    <row r="32" spans="1:4" ht="15" customHeight="1" x14ac:dyDescent="0.3">
      <c r="A32" s="1"/>
      <c r="B32" s="21" t="s">
        <v>34</v>
      </c>
      <c r="C32" s="1"/>
      <c r="D32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"/>
  <sheetViews>
    <sheetView showGridLines="0" zoomScaleNormal="100" workbookViewId="0">
      <pane xSplit="1" ySplit="2" topLeftCell="B73" activePane="bottomRight" state="frozen"/>
      <selection pane="topRight" activeCell="B1" sqref="B1"/>
      <selection pane="bottomLeft" activeCell="A57" sqref="A57"/>
      <selection pane="bottomRight" activeCell="D43" sqref="D43"/>
    </sheetView>
  </sheetViews>
  <sheetFormatPr defaultColWidth="8.5703125" defaultRowHeight="15" x14ac:dyDescent="0.25"/>
  <cols>
    <col min="1" max="1" width="2" customWidth="1"/>
    <col min="2" max="2" width="38" customWidth="1"/>
    <col min="3" max="3" width="16" customWidth="1"/>
    <col min="4" max="4" width="52" customWidth="1"/>
    <col min="5" max="5" width="28" customWidth="1"/>
  </cols>
  <sheetData>
    <row r="1" spans="1:5" ht="21.75" customHeight="1" x14ac:dyDescent="0.25">
      <c r="A1" s="1"/>
      <c r="B1" s="2" t="s">
        <v>78</v>
      </c>
      <c r="C1" s="1"/>
      <c r="D1" s="1"/>
      <c r="E1" s="1"/>
    </row>
    <row r="2" spans="1:5" ht="18" customHeight="1" x14ac:dyDescent="0.25">
      <c r="A2" s="1"/>
      <c r="B2" s="20" t="s">
        <v>79</v>
      </c>
      <c r="C2" s="20" t="s">
        <v>80</v>
      </c>
      <c r="D2" s="20" t="s">
        <v>81</v>
      </c>
      <c r="E2" s="20" t="s">
        <v>82</v>
      </c>
    </row>
    <row r="3" spans="1:5" ht="15" customHeight="1" x14ac:dyDescent="0.25">
      <c r="A3" s="1"/>
      <c r="B3" s="9" t="s">
        <v>83</v>
      </c>
      <c r="C3" s="31">
        <v>2024</v>
      </c>
      <c r="D3" s="32"/>
      <c r="E3" s="33" t="s">
        <v>84</v>
      </c>
    </row>
    <row r="4" spans="1:5" ht="15" customHeight="1" x14ac:dyDescent="0.25">
      <c r="A4" s="1"/>
      <c r="B4" s="9" t="s">
        <v>85</v>
      </c>
      <c r="C4" s="31">
        <v>2023</v>
      </c>
      <c r="D4" s="32" t="s">
        <v>86</v>
      </c>
      <c r="E4" s="33" t="s">
        <v>87</v>
      </c>
    </row>
    <row r="5" spans="1:5" ht="15" customHeight="1" x14ac:dyDescent="0.25">
      <c r="A5" s="1"/>
      <c r="B5" s="9" t="s">
        <v>88</v>
      </c>
      <c r="C5" s="31">
        <v>446.36</v>
      </c>
      <c r="D5" s="32"/>
      <c r="E5" s="33" t="s">
        <v>89</v>
      </c>
    </row>
    <row r="6" spans="1:5" ht="15" customHeight="1" x14ac:dyDescent="0.25">
      <c r="A6" s="1"/>
      <c r="B6" s="9" t="s">
        <v>90</v>
      </c>
      <c r="C6" s="31">
        <v>7433</v>
      </c>
      <c r="D6" s="32"/>
      <c r="E6" s="33" t="s">
        <v>91</v>
      </c>
    </row>
    <row r="7" spans="1:5" ht="15" customHeight="1" x14ac:dyDescent="0.25">
      <c r="A7" s="1"/>
      <c r="B7" s="9" t="s">
        <v>92</v>
      </c>
      <c r="C7" s="31">
        <v>8.7999999999999995E-2</v>
      </c>
      <c r="D7" s="32"/>
      <c r="E7" s="33" t="s">
        <v>93</v>
      </c>
    </row>
    <row r="8" spans="1:5" ht="15" customHeight="1" x14ac:dyDescent="0.25">
      <c r="A8" s="1"/>
      <c r="B8" s="9" t="s">
        <v>94</v>
      </c>
      <c r="C8" s="31">
        <f>'Income Statement'!C14/'Income Statement'!C12</f>
        <v>0.19706286953273752</v>
      </c>
      <c r="D8" s="32"/>
      <c r="E8" s="33" t="s">
        <v>95</v>
      </c>
    </row>
    <row r="9" spans="1:5" ht="15" customHeight="1" x14ac:dyDescent="0.3">
      <c r="A9" s="1"/>
      <c r="B9" s="9" t="s">
        <v>96</v>
      </c>
      <c r="C9" s="44">
        <f>C5*C6</f>
        <v>3317793.88</v>
      </c>
      <c r="D9" s="32" t="s">
        <v>97</v>
      </c>
      <c r="E9" s="33" t="s">
        <v>98</v>
      </c>
    </row>
    <row r="10" spans="1:5" ht="6" customHeight="1" x14ac:dyDescent="0.3">
      <c r="A10" s="1"/>
      <c r="B10" s="1"/>
      <c r="C10" s="48"/>
      <c r="D10" s="1"/>
      <c r="E10" s="1"/>
    </row>
    <row r="11" spans="1:5" ht="15.75" customHeight="1" x14ac:dyDescent="0.3">
      <c r="A11" s="1"/>
      <c r="B11" s="7" t="s">
        <v>99</v>
      </c>
      <c r="C11" s="49"/>
      <c r="D11" s="8"/>
      <c r="E11" s="8"/>
    </row>
    <row r="12" spans="1:5" ht="15" customHeight="1" x14ac:dyDescent="0.3">
      <c r="A12" s="1"/>
      <c r="B12" s="9" t="s">
        <v>100</v>
      </c>
      <c r="C12" s="45">
        <f>'Balance Sheet'!H18</f>
        <v>312472</v>
      </c>
      <c r="D12" s="32" t="s">
        <v>101</v>
      </c>
      <c r="E12" s="33" t="s">
        <v>102</v>
      </c>
    </row>
    <row r="13" spans="1:5" ht="15" customHeight="1" x14ac:dyDescent="0.3">
      <c r="A13" s="1"/>
      <c r="B13" s="9" t="s">
        <v>103</v>
      </c>
      <c r="C13" s="45">
        <f>'Balance Sheet'!D7</f>
        <v>2500</v>
      </c>
      <c r="D13" s="32" t="s">
        <v>104</v>
      </c>
      <c r="E13" s="33" t="s">
        <v>105</v>
      </c>
    </row>
    <row r="14" spans="1:5" ht="15" customHeight="1" x14ac:dyDescent="0.3">
      <c r="A14" s="1"/>
      <c r="B14" s="9" t="s">
        <v>106</v>
      </c>
      <c r="C14" s="45">
        <f>'Balance Sheet'!D6</f>
        <v>48688</v>
      </c>
      <c r="D14" s="32" t="s">
        <v>107</v>
      </c>
      <c r="E14" s="33" t="s">
        <v>108</v>
      </c>
    </row>
    <row r="15" spans="1:5" ht="15" customHeight="1" x14ac:dyDescent="0.3">
      <c r="A15" s="1"/>
      <c r="B15" s="9" t="s">
        <v>109</v>
      </c>
      <c r="C15" s="45">
        <f>'Balance Sheet'!D20</f>
        <v>457996</v>
      </c>
      <c r="D15" s="32" t="s">
        <v>110</v>
      </c>
      <c r="E15" s="33" t="s">
        <v>111</v>
      </c>
    </row>
    <row r="16" spans="1:5" ht="15" customHeight="1" x14ac:dyDescent="0.3">
      <c r="A16" s="1"/>
      <c r="B16" s="9" t="s">
        <v>112</v>
      </c>
      <c r="C16" s="45">
        <f>'Balance Sheet'!H10+'Balance Sheet'!H18</f>
        <v>354462</v>
      </c>
      <c r="D16" s="32" t="s">
        <v>113</v>
      </c>
      <c r="E16" s="33" t="s">
        <v>114</v>
      </c>
    </row>
    <row r="17" spans="1:5" ht="6" customHeight="1" x14ac:dyDescent="0.3">
      <c r="A17" s="1"/>
      <c r="B17" s="1"/>
      <c r="C17" s="48"/>
      <c r="D17" s="1"/>
      <c r="E17" s="1"/>
    </row>
    <row r="18" spans="1:5" ht="15.75" customHeight="1" x14ac:dyDescent="0.3">
      <c r="A18" s="1"/>
      <c r="B18" s="7" t="s">
        <v>115</v>
      </c>
      <c r="C18" s="49"/>
      <c r="D18" s="8"/>
      <c r="E18" s="8"/>
    </row>
    <row r="19" spans="1:5" ht="15" customHeight="1" x14ac:dyDescent="0.3">
      <c r="A19" s="1"/>
      <c r="B19" s="9" t="s">
        <v>116</v>
      </c>
      <c r="C19" s="46">
        <f>'Income Statement'!C15+(1-C8)*'Income Statement'!C11</f>
        <v>90492.620477921417</v>
      </c>
      <c r="D19" s="32" t="s">
        <v>117</v>
      </c>
      <c r="E19" s="33" t="s">
        <v>118</v>
      </c>
    </row>
    <row r="20" spans="1:5" ht="15" customHeight="1" x14ac:dyDescent="0.3">
      <c r="A20" s="1"/>
      <c r="B20" s="9" t="s">
        <v>119</v>
      </c>
      <c r="C20" s="44">
        <f>'Income Statement'!C4/365</f>
        <v>671.56712328767128</v>
      </c>
      <c r="D20" s="32" t="s">
        <v>120</v>
      </c>
      <c r="E20" s="33" t="s">
        <v>121</v>
      </c>
    </row>
    <row r="21" spans="1:5" ht="15" customHeight="1" x14ac:dyDescent="0.3">
      <c r="A21" s="1"/>
      <c r="B21" s="9" t="s">
        <v>122</v>
      </c>
      <c r="C21" s="45">
        <f>'Balance Sheet'!G18</f>
        <v>355248</v>
      </c>
      <c r="D21" s="32" t="s">
        <v>123</v>
      </c>
      <c r="E21" s="33" t="s">
        <v>124</v>
      </c>
    </row>
    <row r="22" spans="1:5" ht="15" customHeight="1" x14ac:dyDescent="0.3">
      <c r="A22" s="1"/>
      <c r="B22" s="9" t="s">
        <v>125</v>
      </c>
      <c r="C22" s="45">
        <f>'Balance Sheet'!C5</f>
        <v>18314</v>
      </c>
      <c r="D22" s="32" t="s">
        <v>126</v>
      </c>
      <c r="E22" s="33" t="s">
        <v>127</v>
      </c>
    </row>
    <row r="23" spans="1:5" ht="15" customHeight="1" x14ac:dyDescent="0.3">
      <c r="A23" s="1"/>
      <c r="B23" s="9" t="s">
        <v>128</v>
      </c>
      <c r="C23" s="45">
        <f>'Balance Sheet'!C9</f>
        <v>88660</v>
      </c>
      <c r="D23" s="32" t="s">
        <v>129</v>
      </c>
      <c r="E23" s="33" t="s">
        <v>130</v>
      </c>
    </row>
    <row r="24" spans="1:5" ht="15" customHeight="1" x14ac:dyDescent="0.3">
      <c r="A24" s="1"/>
      <c r="B24" s="9" t="s">
        <v>131</v>
      </c>
      <c r="C24" s="45">
        <f>'Balance Sheet'!G8</f>
        <v>82588</v>
      </c>
      <c r="D24" s="32" t="s">
        <v>132</v>
      </c>
      <c r="E24" s="33" t="s">
        <v>133</v>
      </c>
    </row>
    <row r="25" spans="1:5" ht="15" customHeight="1" x14ac:dyDescent="0.3">
      <c r="A25" s="1"/>
      <c r="B25" s="9" t="s">
        <v>134</v>
      </c>
      <c r="C25" s="44">
        <f>'Income Statement'!C5/365</f>
        <v>203.05205479452056</v>
      </c>
      <c r="D25" s="32" t="s">
        <v>135</v>
      </c>
      <c r="E25" s="33" t="s">
        <v>136</v>
      </c>
    </row>
    <row r="26" spans="1:5" ht="15" customHeight="1" x14ac:dyDescent="0.3">
      <c r="A26" s="1"/>
      <c r="B26" s="9" t="s">
        <v>137</v>
      </c>
      <c r="C26" s="45">
        <f>'Balance Sheet'!G10</f>
        <v>42688</v>
      </c>
      <c r="D26" s="32" t="s">
        <v>138</v>
      </c>
      <c r="E26" s="33" t="s">
        <v>139</v>
      </c>
    </row>
    <row r="27" spans="1:5" ht="15" customHeight="1" x14ac:dyDescent="0.3">
      <c r="A27" s="1"/>
      <c r="B27" s="9" t="s">
        <v>140</v>
      </c>
      <c r="C27" s="45">
        <f>'Balance Sheet'!C9-'Balance Sheet'!G8</f>
        <v>6072</v>
      </c>
      <c r="D27" s="32" t="s">
        <v>141</v>
      </c>
      <c r="E27" s="33" t="s">
        <v>142</v>
      </c>
    </row>
    <row r="28" spans="1:5" ht="15" customHeight="1" x14ac:dyDescent="0.3">
      <c r="A28" s="1"/>
      <c r="B28" s="9" t="s">
        <v>143</v>
      </c>
      <c r="C28" s="45">
        <f>'Balance Sheet'!C20</f>
        <v>507596</v>
      </c>
      <c r="D28" s="32" t="s">
        <v>144</v>
      </c>
      <c r="E28" s="33" t="s">
        <v>145</v>
      </c>
    </row>
    <row r="29" spans="1:5" ht="15" customHeight="1" x14ac:dyDescent="0.3">
      <c r="A29" s="1"/>
      <c r="B29" s="9" t="s">
        <v>146</v>
      </c>
      <c r="C29" s="45">
        <f>'Balance Sheet'!G10+'Balance Sheet'!G18</f>
        <v>397936</v>
      </c>
      <c r="D29" s="32" t="s">
        <v>147</v>
      </c>
      <c r="E29" s="33" t="s">
        <v>148</v>
      </c>
    </row>
    <row r="30" spans="1:5" ht="15" customHeight="1" x14ac:dyDescent="0.3">
      <c r="A30" s="1"/>
      <c r="B30" s="9" t="s">
        <v>149</v>
      </c>
      <c r="C30" s="45">
        <f>'Balance Sheet'!G13</f>
        <v>152348</v>
      </c>
      <c r="D30" s="32" t="s">
        <v>150</v>
      </c>
      <c r="E30" s="33" t="s">
        <v>151</v>
      </c>
    </row>
    <row r="31" spans="1:5" ht="6" customHeight="1" x14ac:dyDescent="0.3">
      <c r="A31" s="1"/>
      <c r="B31" s="1"/>
      <c r="C31" s="48"/>
      <c r="D31" s="1"/>
      <c r="E31" s="1"/>
    </row>
    <row r="32" spans="1:5" ht="15.75" customHeight="1" x14ac:dyDescent="0.3">
      <c r="A32" s="1"/>
      <c r="B32" s="7" t="s">
        <v>152</v>
      </c>
      <c r="C32" s="49"/>
      <c r="D32" s="8"/>
      <c r="E32" s="8"/>
    </row>
    <row r="33" spans="1:5" ht="15" customHeight="1" x14ac:dyDescent="0.3">
      <c r="A33" s="1"/>
      <c r="B33" s="9" t="s">
        <v>153</v>
      </c>
      <c r="C33" s="45">
        <f>AVERAGE(C12,C21)</f>
        <v>333860</v>
      </c>
      <c r="D33" s="32" t="s">
        <v>154</v>
      </c>
      <c r="E33" s="33" t="s">
        <v>155</v>
      </c>
    </row>
    <row r="34" spans="1:5" ht="15" customHeight="1" x14ac:dyDescent="0.3">
      <c r="A34" s="1"/>
      <c r="B34" s="9" t="s">
        <v>156</v>
      </c>
      <c r="C34" s="45">
        <f>AVERAGE(C15,C28)</f>
        <v>482796</v>
      </c>
      <c r="D34" s="32" t="s">
        <v>157</v>
      </c>
      <c r="E34" s="33" t="s">
        <v>158</v>
      </c>
    </row>
    <row r="35" spans="1:5" ht="15" customHeight="1" x14ac:dyDescent="0.3">
      <c r="A35" s="1"/>
      <c r="B35" s="9" t="s">
        <v>159</v>
      </c>
      <c r="C35" s="45">
        <f>AVERAGE(C16,C29)</f>
        <v>376199</v>
      </c>
      <c r="D35" s="32" t="s">
        <v>160</v>
      </c>
      <c r="E35" s="33" t="s">
        <v>161</v>
      </c>
    </row>
    <row r="36" spans="1:5" ht="15" customHeight="1" x14ac:dyDescent="0.3">
      <c r="A36" s="1"/>
      <c r="B36" s="9" t="s">
        <v>162</v>
      </c>
      <c r="C36" s="45">
        <f>C26+C21</f>
        <v>397936</v>
      </c>
      <c r="D36" s="32" t="s">
        <v>163</v>
      </c>
      <c r="E36" s="33" t="s">
        <v>164</v>
      </c>
    </row>
    <row r="37" spans="1:5" ht="6" customHeight="1" x14ac:dyDescent="0.3">
      <c r="A37" s="1"/>
      <c r="B37" s="1"/>
      <c r="C37" s="48"/>
      <c r="D37" s="1"/>
      <c r="E37" s="1"/>
    </row>
    <row r="38" spans="1:5" ht="6" customHeight="1" x14ac:dyDescent="0.3">
      <c r="A38" s="1"/>
      <c r="B38" s="1"/>
      <c r="C38" s="48"/>
      <c r="D38" s="1"/>
      <c r="E38" s="1"/>
    </row>
    <row r="39" spans="1:5" ht="18" customHeight="1" x14ac:dyDescent="0.3">
      <c r="A39" s="1"/>
      <c r="B39" s="20" t="s">
        <v>165</v>
      </c>
      <c r="C39" s="47" t="s">
        <v>166</v>
      </c>
      <c r="D39" s="20" t="s">
        <v>167</v>
      </c>
      <c r="E39" s="20" t="s">
        <v>82</v>
      </c>
    </row>
    <row r="40" spans="1:5" ht="15.75" customHeight="1" x14ac:dyDescent="0.3">
      <c r="A40" s="1"/>
      <c r="B40" s="34" t="s">
        <v>168</v>
      </c>
      <c r="C40" s="49"/>
      <c r="D40" s="8"/>
      <c r="E40" s="8"/>
    </row>
    <row r="41" spans="1:5" ht="15" customHeight="1" x14ac:dyDescent="0.3">
      <c r="A41" s="1"/>
      <c r="B41" s="9" t="s">
        <v>169</v>
      </c>
      <c r="C41" s="53">
        <f>C9-C21</f>
        <v>2962545.88</v>
      </c>
      <c r="D41" s="32" t="s">
        <v>170</v>
      </c>
      <c r="E41" s="35" t="s">
        <v>171</v>
      </c>
    </row>
    <row r="42" spans="1:5" ht="15" customHeight="1" x14ac:dyDescent="0.3">
      <c r="A42" s="1"/>
      <c r="B42" s="9" t="s">
        <v>172</v>
      </c>
      <c r="C42" s="51">
        <f>C9/C21</f>
        <v>9.3393738458766826</v>
      </c>
      <c r="D42" s="32" t="s">
        <v>173</v>
      </c>
      <c r="E42" s="35" t="s">
        <v>174</v>
      </c>
    </row>
    <row r="43" spans="1:5" ht="15" customHeight="1" x14ac:dyDescent="0.3">
      <c r="A43" s="1"/>
      <c r="B43" s="9" t="s">
        <v>175</v>
      </c>
      <c r="C43" s="53">
        <f>C19-(C7*C16)</f>
        <v>59299.964477921414</v>
      </c>
      <c r="D43" s="32" t="s">
        <v>176</v>
      </c>
      <c r="E43" s="35" t="s">
        <v>177</v>
      </c>
    </row>
    <row r="44" spans="1:5" ht="6" customHeight="1" x14ac:dyDescent="0.3">
      <c r="A44" s="1"/>
      <c r="B44" s="1"/>
      <c r="C44" s="48"/>
      <c r="D44" s="1"/>
      <c r="E44" s="1"/>
    </row>
    <row r="45" spans="1:5" ht="15.75" customHeight="1" x14ac:dyDescent="0.3">
      <c r="A45" s="1"/>
      <c r="B45" s="34" t="s">
        <v>178</v>
      </c>
      <c r="C45" s="49"/>
      <c r="D45" s="8"/>
      <c r="E45" s="8"/>
    </row>
    <row r="46" spans="1:5" ht="15" customHeight="1" x14ac:dyDescent="0.3">
      <c r="A46" s="1"/>
      <c r="B46" s="9" t="s">
        <v>179</v>
      </c>
      <c r="C46" s="50">
        <f>C19/C15</f>
        <v>0.19758386640477518</v>
      </c>
      <c r="D46" s="32" t="s">
        <v>180</v>
      </c>
      <c r="E46" s="35" t="s">
        <v>181</v>
      </c>
    </row>
    <row r="47" spans="1:5" ht="15" customHeight="1" x14ac:dyDescent="0.3">
      <c r="A47" s="1"/>
      <c r="B47" s="9" t="s">
        <v>182</v>
      </c>
      <c r="C47" s="50">
        <f>C19/C16</f>
        <v>0.2552956888973188</v>
      </c>
      <c r="D47" s="32" t="s">
        <v>183</v>
      </c>
      <c r="E47" s="35" t="s">
        <v>184</v>
      </c>
    </row>
    <row r="48" spans="1:5" ht="15" customHeight="1" x14ac:dyDescent="0.3">
      <c r="A48" s="1"/>
      <c r="B48" s="9" t="s">
        <v>185</v>
      </c>
      <c r="C48" s="50">
        <f>'Income Statement'!C15/C12</f>
        <v>0.2820604726183466</v>
      </c>
      <c r="D48" s="32" t="s">
        <v>186</v>
      </c>
      <c r="E48" s="35" t="s">
        <v>187</v>
      </c>
    </row>
    <row r="49" spans="1:5" ht="15" customHeight="1" x14ac:dyDescent="0.3">
      <c r="A49" s="1"/>
      <c r="B49" s="9" t="s">
        <v>188</v>
      </c>
      <c r="C49" s="50">
        <f>C19/C34</f>
        <v>0.18743448677686106</v>
      </c>
      <c r="D49" s="32" t="s">
        <v>189</v>
      </c>
      <c r="E49" s="35" t="s">
        <v>190</v>
      </c>
    </row>
    <row r="50" spans="1:5" ht="15" customHeight="1" x14ac:dyDescent="0.3">
      <c r="A50" s="1"/>
      <c r="B50" s="9" t="s">
        <v>191</v>
      </c>
      <c r="C50" s="50">
        <f>C19/C35</f>
        <v>0.24054455348876902</v>
      </c>
      <c r="D50" s="32" t="s">
        <v>192</v>
      </c>
      <c r="E50" s="35" t="s">
        <v>193</v>
      </c>
    </row>
    <row r="51" spans="1:5" ht="15" customHeight="1" x14ac:dyDescent="0.3">
      <c r="A51" s="1"/>
      <c r="B51" s="9" t="s">
        <v>194</v>
      </c>
      <c r="C51" s="50">
        <f>'Income Statement'!C15/C33</f>
        <v>0.26399089438686874</v>
      </c>
      <c r="D51" s="32" t="s">
        <v>195</v>
      </c>
      <c r="E51" s="35" t="s">
        <v>196</v>
      </c>
    </row>
    <row r="52" spans="1:5" ht="6" customHeight="1" x14ac:dyDescent="0.3">
      <c r="A52" s="1"/>
      <c r="B52" s="1"/>
      <c r="C52" s="48"/>
      <c r="D52" s="1"/>
      <c r="E52" s="1"/>
    </row>
    <row r="53" spans="1:5" ht="15.75" customHeight="1" x14ac:dyDescent="0.3">
      <c r="A53" s="1"/>
      <c r="B53" s="34" t="s">
        <v>197</v>
      </c>
      <c r="C53" s="49"/>
      <c r="D53" s="8"/>
      <c r="E53" s="8"/>
    </row>
    <row r="54" spans="1:5" ht="15" customHeight="1" x14ac:dyDescent="0.3">
      <c r="A54" s="1"/>
      <c r="B54" s="9" t="s">
        <v>198</v>
      </c>
      <c r="C54" s="51">
        <f>'Income Statement'!C4/C15</f>
        <v>0.53520554764670436</v>
      </c>
      <c r="D54" s="32" t="s">
        <v>199</v>
      </c>
      <c r="E54" s="33" t="s">
        <v>200</v>
      </c>
    </row>
    <row r="55" spans="1:5" ht="15" customHeight="1" x14ac:dyDescent="0.3">
      <c r="A55" s="1"/>
      <c r="B55" s="9" t="s">
        <v>201</v>
      </c>
      <c r="C55" s="51">
        <f>'Income Statement'!C4/C14</f>
        <v>5.0345465001643115</v>
      </c>
      <c r="D55" s="32" t="s">
        <v>202</v>
      </c>
      <c r="E55" s="35" t="s">
        <v>203</v>
      </c>
    </row>
    <row r="56" spans="1:5" ht="15" customHeight="1" x14ac:dyDescent="0.3">
      <c r="A56" s="1"/>
      <c r="B56" s="9" t="s">
        <v>204</v>
      </c>
      <c r="C56" s="52">
        <f>C14/C20</f>
        <v>72.499082089734898</v>
      </c>
      <c r="D56" s="32" t="s">
        <v>205</v>
      </c>
      <c r="E56" s="35" t="s">
        <v>206</v>
      </c>
    </row>
    <row r="57" spans="1:5" ht="15" customHeight="1" x14ac:dyDescent="0.3">
      <c r="A57" s="1"/>
      <c r="B57" s="9" t="s">
        <v>207</v>
      </c>
      <c r="C57" s="51">
        <f>'Income Statement'!C5/C13</f>
        <v>29.645600000000002</v>
      </c>
      <c r="D57" s="32" t="s">
        <v>208</v>
      </c>
      <c r="E57" s="35" t="s">
        <v>209</v>
      </c>
    </row>
    <row r="58" spans="1:5" ht="15" customHeight="1" x14ac:dyDescent="0.3">
      <c r="A58" s="1"/>
      <c r="B58" s="9" t="s">
        <v>210</v>
      </c>
      <c r="C58" s="52">
        <f>C13/C25</f>
        <v>12.312113770677604</v>
      </c>
      <c r="D58" s="32" t="s">
        <v>211</v>
      </c>
      <c r="E58" s="35" t="s">
        <v>212</v>
      </c>
    </row>
    <row r="59" spans="1:5" ht="15" customHeight="1" x14ac:dyDescent="0.3">
      <c r="A59" s="1"/>
      <c r="B59" s="9" t="s">
        <v>213</v>
      </c>
      <c r="C59" s="50">
        <f>'Income Statement'!C15/'Income Statement'!C4</f>
        <v>0.35955972944084985</v>
      </c>
      <c r="D59" s="32" t="s">
        <v>214</v>
      </c>
      <c r="E59" s="35" t="s">
        <v>215</v>
      </c>
    </row>
    <row r="60" spans="1:5" ht="15" customHeight="1" x14ac:dyDescent="0.3">
      <c r="A60" s="1"/>
      <c r="B60" s="9" t="s">
        <v>216</v>
      </c>
      <c r="C60" s="50">
        <f>C19/'Income Statement'!C4</f>
        <v>0.36917380111912196</v>
      </c>
      <c r="D60" s="32" t="s">
        <v>217</v>
      </c>
      <c r="E60" s="33" t="s">
        <v>218</v>
      </c>
    </row>
    <row r="61" spans="1:5" ht="6" customHeight="1" x14ac:dyDescent="0.3">
      <c r="A61" s="1"/>
      <c r="B61" s="1"/>
      <c r="C61" s="48"/>
      <c r="D61" s="1"/>
      <c r="E61" s="1"/>
    </row>
    <row r="62" spans="1:5" ht="15.75" customHeight="1" x14ac:dyDescent="0.3">
      <c r="A62" s="1"/>
      <c r="B62" s="34" t="s">
        <v>219</v>
      </c>
      <c r="C62" s="49"/>
      <c r="D62" s="8"/>
      <c r="E62" s="8"/>
    </row>
    <row r="63" spans="1:5" ht="15" customHeight="1" x14ac:dyDescent="0.3">
      <c r="A63" s="1"/>
      <c r="B63" s="9" t="s">
        <v>220</v>
      </c>
      <c r="C63" s="50">
        <f>C26/(C26+C21)</f>
        <v>0.10727353142213823</v>
      </c>
      <c r="D63" s="32" t="s">
        <v>221</v>
      </c>
      <c r="E63" s="35" t="s">
        <v>222</v>
      </c>
    </row>
    <row r="64" spans="1:5" ht="15" customHeight="1" x14ac:dyDescent="0.3">
      <c r="A64" s="1"/>
      <c r="B64" s="9" t="s">
        <v>223</v>
      </c>
      <c r="C64" s="51">
        <f>C26/C21</f>
        <v>0.12016394180966536</v>
      </c>
      <c r="D64" s="32" t="s">
        <v>224</v>
      </c>
      <c r="E64" s="35" t="s">
        <v>225</v>
      </c>
    </row>
    <row r="65" spans="1:5" ht="15" customHeight="1" x14ac:dyDescent="0.3">
      <c r="A65" s="1"/>
      <c r="B65" s="9" t="s">
        <v>226</v>
      </c>
      <c r="C65" s="50">
        <f>C30/C28</f>
        <v>0.30013632889148062</v>
      </c>
      <c r="D65" s="32" t="s">
        <v>227</v>
      </c>
      <c r="E65" s="35" t="s">
        <v>228</v>
      </c>
    </row>
    <row r="66" spans="1:5" ht="15" customHeight="1" x14ac:dyDescent="0.3">
      <c r="A66" s="1"/>
      <c r="B66" s="9" t="s">
        <v>229</v>
      </c>
      <c r="C66" s="51">
        <f>'Income Statement'!C8/'Income Statement'!C11</f>
        <v>37.285519591141394</v>
      </c>
      <c r="D66" s="32" t="s">
        <v>230</v>
      </c>
      <c r="E66" s="35" t="s">
        <v>231</v>
      </c>
    </row>
    <row r="67" spans="1:5" ht="15" customHeight="1" x14ac:dyDescent="0.3">
      <c r="A67" s="1"/>
      <c r="B67" s="9" t="s">
        <v>232</v>
      </c>
      <c r="C67" s="51">
        <f>('Income Statement'!C8+'Income Statement'!C7)/'Income Statement'!C11</f>
        <v>43.297444633730834</v>
      </c>
      <c r="D67" s="32" t="s">
        <v>233</v>
      </c>
      <c r="E67" s="35" t="s">
        <v>234</v>
      </c>
    </row>
    <row r="68" spans="1:5" ht="15" customHeight="1" x14ac:dyDescent="0.3">
      <c r="A68" s="1"/>
      <c r="B68" s="9" t="s">
        <v>235</v>
      </c>
      <c r="C68" s="50">
        <f>'Income Statement'!C15/C19</f>
        <v>0.9739578712001562</v>
      </c>
      <c r="D68" s="32" t="s">
        <v>236</v>
      </c>
      <c r="E68" s="33" t="s">
        <v>237</v>
      </c>
    </row>
    <row r="69" spans="1:5" ht="15" customHeight="1" x14ac:dyDescent="0.3">
      <c r="A69" s="1"/>
      <c r="B69" s="9" t="s">
        <v>238</v>
      </c>
      <c r="C69" s="51">
        <f>C28/C21</f>
        <v>1.4288497049948206</v>
      </c>
      <c r="D69" s="32" t="s">
        <v>239</v>
      </c>
      <c r="E69" s="33" t="s">
        <v>240</v>
      </c>
    </row>
    <row r="70" spans="1:5" ht="6" customHeight="1" x14ac:dyDescent="0.3">
      <c r="A70" s="1"/>
      <c r="B70" s="1"/>
      <c r="C70" s="48"/>
      <c r="D70" s="1"/>
      <c r="E70" s="1"/>
    </row>
    <row r="71" spans="1:5" ht="15.75" customHeight="1" x14ac:dyDescent="0.3">
      <c r="A71" s="1"/>
      <c r="B71" s="34" t="s">
        <v>241</v>
      </c>
      <c r="C71" s="49"/>
      <c r="D71" s="8"/>
      <c r="E71" s="8"/>
    </row>
    <row r="72" spans="1:5" ht="15" customHeight="1" x14ac:dyDescent="0.3">
      <c r="A72" s="1"/>
      <c r="B72" s="9" t="s">
        <v>242</v>
      </c>
      <c r="C72" s="50">
        <f>C27/C28</f>
        <v>1.1962269206219119E-2</v>
      </c>
      <c r="D72" s="32" t="s">
        <v>243</v>
      </c>
      <c r="E72" s="35" t="s">
        <v>244</v>
      </c>
    </row>
    <row r="73" spans="1:5" ht="15" customHeight="1" x14ac:dyDescent="0.3">
      <c r="A73" s="1"/>
      <c r="B73" s="9" t="s">
        <v>245</v>
      </c>
      <c r="C73" s="51">
        <f>C23/C24</f>
        <v>1.0735215769845499</v>
      </c>
      <c r="D73" s="32" t="s">
        <v>246</v>
      </c>
      <c r="E73" s="35" t="s">
        <v>247</v>
      </c>
    </row>
    <row r="74" spans="1:5" ht="15" customHeight="1" x14ac:dyDescent="0.3">
      <c r="A74" s="1"/>
      <c r="B74" s="9" t="s">
        <v>248</v>
      </c>
      <c r="C74" s="51">
        <f>(C22+'Balance Sheet'!C6)/C24</f>
        <v>0.74824429699229911</v>
      </c>
      <c r="D74" s="32" t="s">
        <v>249</v>
      </c>
      <c r="E74" s="35" t="s">
        <v>250</v>
      </c>
    </row>
    <row r="75" spans="1:5" ht="15" customHeight="1" x14ac:dyDescent="0.3">
      <c r="A75" s="1"/>
      <c r="B75" s="9" t="s">
        <v>251</v>
      </c>
      <c r="C75" s="51">
        <f>C22/C24</f>
        <v>0.22175134402092314</v>
      </c>
      <c r="D75" s="32" t="s">
        <v>252</v>
      </c>
      <c r="E75" s="35" t="s">
        <v>253</v>
      </c>
    </row>
    <row r="76" spans="1:5" ht="6" customHeight="1" x14ac:dyDescent="0.3">
      <c r="A76" s="1"/>
      <c r="B76" s="1"/>
      <c r="C76" s="48"/>
      <c r="D76" s="1"/>
      <c r="E76" s="1"/>
    </row>
    <row r="77" spans="1:5" ht="15.75" customHeight="1" x14ac:dyDescent="0.3">
      <c r="A77" s="1"/>
      <c r="B77" s="34" t="s">
        <v>254</v>
      </c>
      <c r="C77" s="49"/>
      <c r="D77" s="8"/>
      <c r="E77" s="8"/>
    </row>
    <row r="78" spans="1:5" ht="15" customHeight="1" x14ac:dyDescent="0.3">
      <c r="A78" s="1"/>
      <c r="B78" s="9" t="s">
        <v>255</v>
      </c>
      <c r="C78" s="50">
        <f>C54*C60</f>
        <v>0.19758386640477518</v>
      </c>
      <c r="D78" s="32" t="s">
        <v>256</v>
      </c>
      <c r="E78" s="35" t="s">
        <v>257</v>
      </c>
    </row>
    <row r="79" spans="1:5" ht="15" customHeight="1" x14ac:dyDescent="0.3">
      <c r="A79" s="1"/>
      <c r="B79" s="36" t="s">
        <v>258</v>
      </c>
      <c r="C79" s="51">
        <f>C54</f>
        <v>0.53520554764670436</v>
      </c>
      <c r="D79" s="32" t="s">
        <v>259</v>
      </c>
      <c r="E79" s="35" t="s">
        <v>200</v>
      </c>
    </row>
    <row r="80" spans="1:5" ht="15" customHeight="1" x14ac:dyDescent="0.3">
      <c r="A80" s="1"/>
      <c r="B80" s="36" t="s">
        <v>260</v>
      </c>
      <c r="C80" s="50">
        <f>C60</f>
        <v>0.36917380111912196</v>
      </c>
      <c r="D80" s="32" t="s">
        <v>259</v>
      </c>
      <c r="E80" s="35" t="s">
        <v>218</v>
      </c>
    </row>
    <row r="81" spans="1:5" ht="6" customHeight="1" x14ac:dyDescent="0.3">
      <c r="A81" s="1"/>
      <c r="B81" s="1"/>
      <c r="C81" s="48"/>
      <c r="D81" s="1"/>
      <c r="E81" s="1"/>
    </row>
    <row r="82" spans="1:5" ht="15" customHeight="1" x14ac:dyDescent="0.3">
      <c r="A82" s="1"/>
      <c r="B82" s="9" t="s">
        <v>261</v>
      </c>
      <c r="C82" s="50">
        <f>C69*C54*C60*C68</f>
        <v>0.27496549664063336</v>
      </c>
      <c r="D82" s="32" t="s">
        <v>262</v>
      </c>
      <c r="E82" s="35" t="s">
        <v>263</v>
      </c>
    </row>
    <row r="83" spans="1:5" ht="15" customHeight="1" x14ac:dyDescent="0.3">
      <c r="A83" s="1"/>
      <c r="B83" s="36" t="s">
        <v>264</v>
      </c>
      <c r="C83" s="51">
        <f>C69</f>
        <v>1.4288497049948206</v>
      </c>
      <c r="D83" s="32" t="s">
        <v>265</v>
      </c>
      <c r="E83" s="35" t="s">
        <v>240</v>
      </c>
    </row>
    <row r="84" spans="1:5" ht="15" customHeight="1" x14ac:dyDescent="0.3">
      <c r="A84" s="1"/>
      <c r="B84" s="36" t="s">
        <v>258</v>
      </c>
      <c r="C84" s="51">
        <f>C54</f>
        <v>0.53520554764670436</v>
      </c>
      <c r="D84" s="32" t="s">
        <v>259</v>
      </c>
      <c r="E84" s="35" t="s">
        <v>200</v>
      </c>
    </row>
    <row r="85" spans="1:5" ht="15" customHeight="1" x14ac:dyDescent="0.3">
      <c r="A85" s="1"/>
      <c r="B85" s="36" t="s">
        <v>260</v>
      </c>
      <c r="C85" s="50">
        <f>C60</f>
        <v>0.36917380111912196</v>
      </c>
      <c r="D85" s="32" t="s">
        <v>259</v>
      </c>
      <c r="E85" s="35" t="s">
        <v>218</v>
      </c>
    </row>
    <row r="86" spans="1:5" ht="15" customHeight="1" x14ac:dyDescent="0.3">
      <c r="A86" s="1"/>
      <c r="B86" s="36" t="s">
        <v>266</v>
      </c>
      <c r="C86" s="50">
        <f>C68</f>
        <v>0.9739578712001562</v>
      </c>
      <c r="D86" s="32" t="s">
        <v>265</v>
      </c>
      <c r="E86" s="35" t="s">
        <v>237</v>
      </c>
    </row>
    <row r="87" spans="1:5" ht="6" customHeight="1" x14ac:dyDescent="0.25">
      <c r="A87" s="1"/>
      <c r="B87" s="1"/>
      <c r="C87" s="1"/>
      <c r="D87" s="1"/>
      <c r="E87" s="1"/>
    </row>
    <row r="88" spans="1:5" ht="16.5" customHeight="1" x14ac:dyDescent="0.25">
      <c r="A88" s="1"/>
      <c r="B88" s="1"/>
      <c r="C88" s="1"/>
      <c r="D88" s="1"/>
      <c r="E88" s="1"/>
    </row>
    <row r="89" spans="1:5" ht="13.5" customHeight="1" x14ac:dyDescent="0.25">
      <c r="A89" s="1"/>
      <c r="B89" s="37" t="s">
        <v>267</v>
      </c>
      <c r="C89" s="38" t="s">
        <v>268</v>
      </c>
      <c r="D89" s="39" t="s">
        <v>269</v>
      </c>
      <c r="E89" s="40" t="s">
        <v>270</v>
      </c>
    </row>
    <row r="90" spans="1:5" ht="15" customHeight="1" x14ac:dyDescent="0.25">
      <c r="A90" s="1"/>
      <c r="B90" s="21" t="s">
        <v>34</v>
      </c>
      <c r="C90" s="1"/>
      <c r="D90" s="1"/>
      <c r="E90" s="1"/>
    </row>
  </sheetData>
  <dataValidations count="1">
    <dataValidation type="decimal" errorTitle="Invalid %" error="Enter a value between 0% and 100%" sqref="C7:C8" xr:uid="{00000000-0002-0000-03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6" sqref="C16"/>
    </sheetView>
  </sheetViews>
  <sheetFormatPr defaultColWidth="8.5703125" defaultRowHeight="15" x14ac:dyDescent="0.25"/>
  <cols>
    <col min="1" max="1" width="2" customWidth="1"/>
    <col min="2" max="2" width="60" customWidth="1"/>
    <col min="3" max="3" width="55" customWidth="1"/>
  </cols>
  <sheetData>
    <row r="1" spans="1:3" ht="21.75" customHeight="1" x14ac:dyDescent="0.3">
      <c r="A1" s="1"/>
      <c r="B1" s="41" t="s">
        <v>271</v>
      </c>
      <c r="C1" s="1"/>
    </row>
    <row r="2" spans="1:3" ht="16.5" customHeight="1" x14ac:dyDescent="0.25">
      <c r="A2" s="1"/>
      <c r="B2" s="1"/>
      <c r="C2" s="1"/>
    </row>
    <row r="3" spans="1:3" ht="15" customHeight="1" x14ac:dyDescent="0.25">
      <c r="A3" s="1"/>
      <c r="B3" s="42" t="s">
        <v>272</v>
      </c>
      <c r="C3" s="43" t="s">
        <v>273</v>
      </c>
    </row>
    <row r="4" spans="1:3" ht="15" customHeight="1" x14ac:dyDescent="0.25">
      <c r="A4" s="1"/>
      <c r="B4" s="42" t="s">
        <v>274</v>
      </c>
      <c r="C4" s="43" t="s">
        <v>275</v>
      </c>
    </row>
    <row r="5" spans="1:3" ht="15" customHeight="1" x14ac:dyDescent="0.25">
      <c r="A5" s="1"/>
      <c r="B5" s="42" t="s">
        <v>276</v>
      </c>
      <c r="C5" s="43" t="s">
        <v>277</v>
      </c>
    </row>
    <row r="6" spans="1:3" ht="15" customHeight="1" x14ac:dyDescent="0.25">
      <c r="A6" s="1"/>
      <c r="B6" s="42" t="s">
        <v>278</v>
      </c>
      <c r="C6" s="43" t="s">
        <v>2</v>
      </c>
    </row>
    <row r="7" spans="1:3" ht="15" customHeight="1" x14ac:dyDescent="0.25">
      <c r="A7" s="1"/>
      <c r="B7" s="42" t="s">
        <v>279</v>
      </c>
      <c r="C7" s="43" t="s">
        <v>3</v>
      </c>
    </row>
    <row r="8" spans="1:3" ht="15" customHeight="1" x14ac:dyDescent="0.25">
      <c r="A8" s="1"/>
      <c r="B8" s="42" t="s">
        <v>280</v>
      </c>
      <c r="C8" s="43" t="s">
        <v>281</v>
      </c>
    </row>
    <row r="9" spans="1:3" ht="15" customHeight="1" x14ac:dyDescent="0.25">
      <c r="A9" s="1"/>
      <c r="B9" s="42" t="s">
        <v>282</v>
      </c>
      <c r="C9" s="43" t="s">
        <v>283</v>
      </c>
    </row>
    <row r="10" spans="1:3" ht="15" customHeight="1" x14ac:dyDescent="0.25">
      <c r="A10" s="1"/>
      <c r="B10" s="42" t="s">
        <v>284</v>
      </c>
      <c r="C10" s="43" t="s">
        <v>285</v>
      </c>
    </row>
    <row r="11" spans="1:3" ht="15" customHeight="1" x14ac:dyDescent="0.25">
      <c r="A11" s="1"/>
      <c r="B11" s="42" t="s">
        <v>286</v>
      </c>
      <c r="C11" s="43" t="s">
        <v>287</v>
      </c>
    </row>
    <row r="12" spans="1:3" ht="15" customHeight="1" x14ac:dyDescent="0.25">
      <c r="A12" s="1"/>
      <c r="B12" s="42" t="s">
        <v>288</v>
      </c>
      <c r="C12" s="43" t="s">
        <v>289</v>
      </c>
    </row>
    <row r="13" spans="1:3" ht="15" customHeight="1" x14ac:dyDescent="0.25">
      <c r="A13" s="1"/>
      <c r="B13" s="42" t="s">
        <v>290</v>
      </c>
      <c r="C13" s="43" t="s">
        <v>291</v>
      </c>
    </row>
    <row r="14" spans="1:3" ht="15" customHeight="1" x14ac:dyDescent="0.25">
      <c r="A14" s="1"/>
      <c r="B14" s="1"/>
      <c r="C14" s="43"/>
    </row>
    <row r="15" spans="1:3" ht="15" customHeight="1" x14ac:dyDescent="0.25">
      <c r="A15" s="1"/>
      <c r="B15" s="42" t="s">
        <v>292</v>
      </c>
      <c r="C15" s="43" t="s">
        <v>293</v>
      </c>
    </row>
    <row r="16" spans="1:3" ht="15" customHeight="1" x14ac:dyDescent="0.25">
      <c r="A16" s="1"/>
      <c r="B16" s="42" t="s">
        <v>294</v>
      </c>
      <c r="C16" s="43" t="s">
        <v>295</v>
      </c>
    </row>
    <row r="17" spans="1:3" ht="15" customHeight="1" x14ac:dyDescent="0.25">
      <c r="A17" s="1"/>
      <c r="B17" s="42" t="s">
        <v>296</v>
      </c>
      <c r="C17" s="43" t="s">
        <v>297</v>
      </c>
    </row>
    <row r="18" spans="1:3" ht="15" customHeight="1" x14ac:dyDescent="0.25">
      <c r="A18" s="1"/>
      <c r="B18" s="42" t="s">
        <v>298</v>
      </c>
      <c r="C18" s="43" t="s">
        <v>299</v>
      </c>
    </row>
    <row r="19" spans="1:3" ht="15" customHeight="1" x14ac:dyDescent="0.25">
      <c r="A19" s="1"/>
      <c r="B19" s="1"/>
      <c r="C19" s="43"/>
    </row>
    <row r="20" spans="1:3" ht="15" customHeight="1" x14ac:dyDescent="0.3">
      <c r="A20" s="1"/>
      <c r="B20" s="42" t="s">
        <v>300</v>
      </c>
      <c r="C20" s="43" t="s">
        <v>301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39</vt:i4>
      </vt:variant>
    </vt:vector>
  </HeadingPairs>
  <TitlesOfParts>
    <vt:vector size="44" baseType="lpstr"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BAL_receivables_YEAR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debt_long_term_equity</vt:lpstr>
      <vt:lpstr>INC_cost_goods_sold</vt:lpstr>
      <vt:lpstr>INC_depreciation</vt:lpstr>
      <vt:lpstr>INC_ebit</vt:lpstr>
      <vt:lpstr>INC_interest_expense</vt:lpstr>
      <vt:lpstr>INC_net</vt:lpstr>
      <vt:lpstr>INC_sales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Graysen Oumi</cp:lastModifiedBy>
  <cp:revision>0</cp:revision>
  <dcterms:created xsi:type="dcterms:W3CDTF">2026-03-25T17:31:22Z</dcterms:created>
  <dcterms:modified xsi:type="dcterms:W3CDTF">2026-04-18T05:43:21Z</dcterms:modified>
  <dc:language>en-US</dc:language>
</cp:coreProperties>
</file>